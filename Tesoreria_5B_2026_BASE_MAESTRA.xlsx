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RESUMEN GENERAL" sheetId="1" state="visible" r:id="rId3"/>
    <sheet name="ORGANIZACION" sheetId="2" state="visible" r:id="rId4"/>
    <sheet name="GENERAL" sheetId="3" state="visible" r:id="rId5"/>
    <sheet name="ORIGINAL - RESUMEN GENERAL" sheetId="4" state="hidden" r:id="rId6"/>
    <sheet name="ORIGINAL - GENERAL" sheetId="5" state="hidden" r:id="rId7"/>
    <sheet name="ORIGINAL - INGRESOS TESORERO" sheetId="6" state="hidden" r:id="rId8"/>
    <sheet name="ORIGINAL - EGRESOS TESORERO" sheetId="7" state="hidden" r:id="rId9"/>
    <sheet name="ORIGINAL - CAJA PRESIDENTA" sheetId="8" state="hidden" r:id="rId10"/>
    <sheet name="LISTAS" sheetId="9" state="hidden" r:id="rId11"/>
    <sheet name="PERSONAS" sheetId="10" state="visible" r:id="rId12"/>
    <sheet name="MOVIMIENTOS" sheetId="11" state="visible" r:id="rId13"/>
  </sheets>
  <definedNames>
    <definedName function="false" hidden="false" localSheetId="2" name="_xlnm.Print_Area" vbProcedure="false">GENERAL!$A$1:$Y$42</definedName>
    <definedName function="false" hidden="false" localSheetId="2" name="_xlnm.Print_Titles" vbProcedure="false">GENERAL!$1:$4</definedName>
    <definedName function="false" hidden="true" localSheetId="2" name="_xlnm._FilterDatabase" vbProcedure="false">GENERAL!$A$4:$Y$41</definedName>
    <definedName function="false" hidden="false" localSheetId="10" name="_xlnm.Print_Area" vbProcedure="false">MOVIMIENTOS!$A$1:$W$219</definedName>
    <definedName function="false" hidden="false" localSheetId="10" name="_xlnm.Print_Titles" vbProcedure="false">MOVIMIENTOS!$1:$4</definedName>
    <definedName function="false" hidden="true" localSheetId="10" name="_xlnm._FilterDatabase" vbProcedure="false">MOVIMIENTOS!$A$4:$W$204</definedName>
    <definedName function="false" hidden="false" localSheetId="1" name="_xlnm.Print_Area" vbProcedure="false">ORGANIZACION!$A$1:$B$25</definedName>
    <definedName function="false" hidden="false" localSheetId="9" name="_xlnm.Print_Area" vbProcedure="false">PERSONAS!$A$1:$O$41</definedName>
    <definedName function="false" hidden="true" localSheetId="9" name="_xlnm._FilterDatabase" vbProcedure="false">PERSONAS!$A$4:$O$104</definedName>
    <definedName function="false" hidden="false" localSheetId="0" name="_xlnm.Print_Area" vbProcedure="false">'RESUMEN GENERAL'!$B$1:$F$31</definedName>
    <definedName function="false" hidden="false" name="CategoriasGasto" vbProcedure="false">LISTAS!$G$2:$G$12</definedName>
    <definedName function="false" hidden="false" name="EstadosMovimiento" vbProcedure="false">LISTAS!$F$2:$F$5</definedName>
    <definedName function="false" hidden="false" name="MediosPago" vbProcedure="false">LISTAS!$C$2:$C$7</definedName>
    <definedName function="false" hidden="false" name="PersonasNombres" vbProcedure="false">PERSONAS!$D$5:$D$104</definedName>
    <definedName function="false" hidden="false" name="TiposAporte" vbProcedure="false">LISTAS!$E$2:$E$3</definedName>
    <definedName function="false" hidden="false" name="TiposCuenta" vbProcedure="false">LISTAS!$B$2:$B$6</definedName>
    <definedName function="false" hidden="false" name="TiposMovimiento" vbProcedure="false">LISTAS!$D$2:$D$5</definedName>
    <definedName function="false" hidden="false" name="TiposOrganizacion" vbProcedure="false">LISTAS!$A$2:$A$12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EF Reunion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121</xdr:colOff>
                <xdr:row>2</xdr:row>
                <xdr:rowOff>15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121</xdr:colOff>
                <xdr:row>2</xdr:row>
                <xdr:rowOff>15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EF Reunion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114</xdr:colOff>
                <xdr:row>2</xdr:row>
                <xdr:rowOff>13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57</xdr:colOff>
                <xdr:row>0</xdr:row>
                <xdr:rowOff>2</xdr:rowOff>
              </xdr:from>
              <xdr:to>
                <xdr:col>2</xdr:col>
                <xdr:colOff>114</xdr:colOff>
                <xdr:row>2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<sst xmlns="http://schemas.openxmlformats.org/spreadsheetml/2006/main" count="3584" uniqueCount="584">
  <si>
    <t xml:space="preserve">TESORERÍA 5°B — RESUMEN GENERAL CONSOLIDADO</t>
  </si>
  <si>
    <t xml:space="preserve">Dinero efectivamente recibido, utilizado y disponible. El Monto Real en Tesorería no incluye aportes pendientes.</t>
  </si>
  <si>
    <t xml:space="preserve">CONCEPTO</t>
  </si>
  <si>
    <t xml:space="preserve">TESORERÍA</t>
  </si>
  <si>
    <t xml:space="preserve">PRESIDENTA</t>
  </si>
  <si>
    <t xml:space="preserve">TOTAL CURSO</t>
  </si>
  <si>
    <t xml:space="preserve">INGRESOS EFECTIVAMENTE RECIBIDOS</t>
  </si>
  <si>
    <t xml:space="preserve">EGRESOS EFECTIVAMENTE PAGADOS</t>
  </si>
  <si>
    <t xml:space="preserve">MONTO REAL EN TESORERÍA</t>
  </si>
  <si>
    <t xml:space="preserve">FONDOS TOTALES</t>
  </si>
  <si>
    <t xml:space="preserve">CONTROL DE REFERENCIA DEL ARCHIVO ENTREGADO</t>
  </si>
  <si>
    <t xml:space="preserve">Monto Real Tesorería</t>
  </si>
  <si>
    <t xml:space="preserve">Saldo en poder de Presidenta</t>
  </si>
  <si>
    <t xml:space="preserve">Fondos totales</t>
  </si>
  <si>
    <t xml:space="preserve">ÚLTIMOS GASTOS</t>
  </si>
  <si>
    <t xml:space="preserve">FECHA</t>
  </si>
  <si>
    <t xml:space="preserve">DETALLE</t>
  </si>
  <si>
    <t xml:space="preserve">FONDO</t>
  </si>
  <si>
    <t xml:space="preserve">MONTO</t>
  </si>
  <si>
    <t xml:space="preserve">POTES HELADOS - PAPEL CELOFAN</t>
  </si>
  <si>
    <t xml:space="preserve">Tesorería</t>
  </si>
  <si>
    <t xml:space="preserve">TORTA MANJAR CHOCOLATE 32 P</t>
  </si>
  <si>
    <t xml:space="preserve">CUCHARAS</t>
  </si>
  <si>
    <t xml:space="preserve">DIFERENCIA POTES (VASOS)</t>
  </si>
  <si>
    <t xml:space="preserve">TRANSFERENCIA A PRESIDENTA PALTAS</t>
  </si>
  <si>
    <t xml:space="preserve">PAN COMPLETO</t>
  </si>
  <si>
    <t xml:space="preserve">TOMATE BEBIDAS</t>
  </si>
  <si>
    <t xml:space="preserve">VIENESA ADEREZOS</t>
  </si>
  <si>
    <t xml:space="preserve">DATOS DEL TESORERO/A</t>
  </si>
  <si>
    <t xml:space="preserve">Nombre</t>
  </si>
  <si>
    <t xml:space="preserve">RUT</t>
  </si>
  <si>
    <t xml:space="preserve">Teléfono</t>
  </si>
  <si>
    <t xml:space="preserve">Correo</t>
  </si>
  <si>
    <t xml:space="preserve">DATOS DE LA ORGANIZACIÓN</t>
  </si>
  <si>
    <t xml:space="preserve">Complete una vez. Estos datos se reutilizan en movimientos, comprobantes e informes.</t>
  </si>
  <si>
    <t xml:space="preserve">CAMPO</t>
  </si>
  <si>
    <t xml:space="preserve">VALOR</t>
  </si>
  <si>
    <t xml:space="preserve">Nombre de la organización</t>
  </si>
  <si>
    <t xml:space="preserve">CPA 5°B 2026</t>
  </si>
  <si>
    <t xml:space="preserve">Tipo de organización</t>
  </si>
  <si>
    <t xml:space="preserve">Curso</t>
  </si>
  <si>
    <t xml:space="preserve">Establecimiento / institución</t>
  </si>
  <si>
    <t xml:space="preserve">Escuela Palestina</t>
  </si>
  <si>
    <t xml:space="preserve">Año</t>
  </si>
  <si>
    <t xml:space="preserve">2026</t>
  </si>
  <si>
    <t xml:space="preserve">RUT organización</t>
  </si>
  <si>
    <t xml:space="preserve">Dirección</t>
  </si>
  <si>
    <t xml:space="preserve">+569 </t>
  </si>
  <si>
    <t xml:space="preserve">Representante</t>
  </si>
  <si>
    <t xml:space="preserve">RUT representante</t>
  </si>
  <si>
    <t xml:space="preserve">Tesorero/a</t>
  </si>
  <si>
    <t xml:space="preserve">RUT tesorero/a</t>
  </si>
  <si>
    <t xml:space="preserve">Teléfono tesorero/a</t>
  </si>
  <si>
    <t xml:space="preserve">Correo tesorero/a</t>
  </si>
  <si>
    <t xml:space="preserve">Banco de la organización</t>
  </si>
  <si>
    <t xml:space="preserve">Tipo de cuenta</t>
  </si>
  <si>
    <t xml:space="preserve">Número de cuenta</t>
  </si>
  <si>
    <t xml:space="preserve">Titular de la cuenta</t>
  </si>
  <si>
    <t xml:space="preserve">RUT titular</t>
  </si>
  <si>
    <t xml:space="preserve">Correo transferencias</t>
  </si>
  <si>
    <t xml:space="preserve">TESORERÍA 5°B — PLANILLA GENERAL CONSOLIDADA</t>
  </si>
  <si>
    <t xml:space="preserve">Horizontal y lista para imprimir/exportar. Cuotas obligatorias separadas de extraordinarias. Rojo = Presidenta; sin rojo = Tesorería.</t>
  </si>
  <si>
    <t xml:space="preserve">N°</t>
  </si>
  <si>
    <t xml:space="preserve">NOMBRE</t>
  </si>
  <si>
    <t xml:space="preserve">APODERADO / TUTOR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</si>
  <si>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</si>
  <si>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</si>
  <si>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</si>
  <si>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</si>
  <si>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</si>
  <si>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</si>
  <si>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</si>
  <si>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</si>
  <si>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</si>
  <si>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</si>
  <si>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CUOTAS OBLIGATORIAS</t>
  </si>
  <si>
    <t xml:space="preserve">CUMPL PROFESOR</t>
  </si>
  <si>
    <t xml:space="preserve">DÍA ALUMNO / NIÑO</t>
  </si>
  <si>
    <t xml:space="preserve">CONVIVENCIA JUNIO</t>
  </si>
  <si>
    <t xml:space="preserve">COMPLETADA</t>
  </si>
  <si>
    <t xml:space="preserve">CUMPLEAÑOS</t>
  </si>
  <si>
    <t xml:space="preserve">RIFA</t>
  </si>
  <si>
    <t xml:space="preserve">OTRA EXTRAORDINARIA</t>
  </si>
  <si>
    <t xml:space="preserve">TOTAL EXTRAORDINARIO</t>
  </si>
  <si>
    <t xml:space="preserve">TOTAL ENTREGADO</t>
  </si>
  <si>
    <t xml:space="preserve">OBSERVACIONES</t>
  </si>
  <si>
    <t xml:space="preserve">25310795-2</t>
  </si>
  <si>
    <t xml:space="preserve">ARAYA PINO RENATA ANTONELA</t>
  </si>
  <si>
    <t xml:space="preserve">PATRICIA PINO</t>
  </si>
  <si>
    <t xml:space="preserve">25299343-6</t>
  </si>
  <si>
    <t xml:space="preserve">ASTUDILLO PINO TABATA JESÚS</t>
  </si>
  <si>
    <t xml:space="preserve">ROXANA PINO</t>
  </si>
  <si>
    <t xml:space="preserve">25172569-1</t>
  </si>
  <si>
    <t xml:space="preserve">AZAGRA ABRIGO AMARO ALONSO</t>
  </si>
  <si>
    <t xml:space="preserve">BEATRIZ ABRIGO</t>
  </si>
  <si>
    <t xml:space="preserve">25074761-6</t>
  </si>
  <si>
    <t xml:space="preserve">BECERRA CARRASCO AGUSTIN SALVADOR THOMAS</t>
  </si>
  <si>
    <t xml:space="preserve">ALICIA ARAYA</t>
  </si>
  <si>
    <t xml:space="preserve">BERTEL MONTES GLEYMIS</t>
  </si>
  <si>
    <t xml:space="preserve">25186502-7</t>
  </si>
  <si>
    <t xml:space="preserve">CASTILLO DÍAZ NAHUEL ANDRÉS</t>
  </si>
  <si>
    <t xml:space="preserve">24387554-4</t>
  </si>
  <si>
    <t xml:space="preserve">CASTILLO GRACIA JOSEFA ANTONIA</t>
  </si>
  <si>
    <t xml:space="preserve">25117099-1</t>
  </si>
  <si>
    <t xml:space="preserve">CASTRO VALDERRAMA EIMY PASCALLE</t>
  </si>
  <si>
    <t xml:space="preserve">ANA VALDERRAMA</t>
  </si>
  <si>
    <t xml:space="preserve">25091106-8</t>
  </si>
  <si>
    <t xml:space="preserve">DONOSO MONSALVE ANGEL ISAAC</t>
  </si>
  <si>
    <t xml:space="preserve">25091116-5</t>
  </si>
  <si>
    <t xml:space="preserve">DONOSO MONSALVE THOMAS IGNACIO</t>
  </si>
  <si>
    <t xml:space="preserve">24953133-2</t>
  </si>
  <si>
    <t xml:space="preserve">DONOSO ZAMORA SOFÍA ELENA</t>
  </si>
  <si>
    <t xml:space="preserve">JENNY ZAMORA</t>
  </si>
  <si>
    <t xml:space="preserve">24751135-0</t>
  </si>
  <si>
    <t xml:space="preserve">INOSTROZA MOLINA MATÍAS ALONSO</t>
  </si>
  <si>
    <t xml:space="preserve">OLGA MOLINA</t>
  </si>
  <si>
    <t xml:space="preserve">25049508-0</t>
  </si>
  <si>
    <t xml:space="preserve">ITURRIETA HERNÁNDEZ MAXIMILIANO ALEJANDRO</t>
  </si>
  <si>
    <t xml:space="preserve">VALERIA HERNANDEZ</t>
  </si>
  <si>
    <t xml:space="preserve">25049482-3</t>
  </si>
  <si>
    <t xml:space="preserve">ITURRIETA HERNÁNDEZ VICENTE IGNACIO</t>
  </si>
  <si>
    <t xml:space="preserve">25067494-5</t>
  </si>
  <si>
    <t xml:space="preserve">JATIB DÍAZ ABDOLASIS MAXIMILIANO</t>
  </si>
  <si>
    <t xml:space="preserve">MARISOL DIAZ</t>
  </si>
  <si>
    <t xml:space="preserve">25015009-1</t>
  </si>
  <si>
    <t xml:space="preserve">MENESES YÁÑEZ ALEXANDRA MODESTA</t>
  </si>
  <si>
    <t xml:space="preserve">25179616-5</t>
  </si>
  <si>
    <t xml:space="preserve">MICHEA ALIAGA JOAQUÍN ELÍAS</t>
  </si>
  <si>
    <t xml:space="preserve">STEFANY ALIAGA</t>
  </si>
  <si>
    <t xml:space="preserve">25026561-1</t>
  </si>
  <si>
    <t xml:space="preserve">MOYA SALAS COLOMBA AYLÉN</t>
  </si>
  <si>
    <t xml:space="preserve">NATALIE SALAS</t>
  </si>
  <si>
    <t xml:space="preserve">25012737-5</t>
  </si>
  <si>
    <t xml:space="preserve">MUÑOZ BECERRA AGUSTINA ISIDORA</t>
  </si>
  <si>
    <t xml:space="preserve">YERI</t>
  </si>
  <si>
    <t xml:space="preserve">25276474-7</t>
  </si>
  <si>
    <t xml:space="preserve">MUÑOZ NAVARRETE ANTONELLA ESTEFANÍA</t>
  </si>
  <si>
    <t xml:space="preserve">JANETTE NAVARRETE</t>
  </si>
  <si>
    <t xml:space="preserve">25280245-2</t>
  </si>
  <si>
    <t xml:space="preserve">MUÑOZ VALENZUELA BENJAMÍN IGNACIO</t>
  </si>
  <si>
    <t xml:space="preserve">NATALIA VALENZUELA</t>
  </si>
  <si>
    <t xml:space="preserve">25312924-7</t>
  </si>
  <si>
    <t xml:space="preserve">ORELLANA IBARRA PABLO ALFONSO</t>
  </si>
  <si>
    <t xml:space="preserve">25006274-5</t>
  </si>
  <si>
    <t xml:space="preserve">OYARCE CABELLO MONSERRAT ANTONELLA</t>
  </si>
  <si>
    <t xml:space="preserve">MONSERRAT OLLARCE</t>
  </si>
  <si>
    <t xml:space="preserve">24758384-4</t>
  </si>
  <si>
    <t xml:space="preserve">PÉREZ HIGUERAS ANTONELLA NICOLE</t>
  </si>
  <si>
    <t xml:space="preserve">NELLY HIGUERAS</t>
  </si>
  <si>
    <t xml:space="preserve">25042952-5</t>
  </si>
  <si>
    <t xml:space="preserve">RAMÍREZ MUÑOZ ANHAI ESPERANZA</t>
  </si>
  <si>
    <t xml:space="preserve">ROSA LLANOS</t>
  </si>
  <si>
    <t xml:space="preserve">24911564-9</t>
  </si>
  <si>
    <t xml:space="preserve">REYES RODRÍGUEZ FERNANDA CATALINA</t>
  </si>
  <si>
    <t xml:space="preserve">YASNA RODRIGUEZ</t>
  </si>
  <si>
    <t xml:space="preserve">25255361-0</t>
  </si>
  <si>
    <t xml:space="preserve">RIVERA AVENDAÑO BERTA AMPARO</t>
  </si>
  <si>
    <t xml:space="preserve">BLANCA AVENDAÑO</t>
  </si>
  <si>
    <t xml:space="preserve">24973619-8</t>
  </si>
  <si>
    <t xml:space="preserve">RUBIO REYES JOSÉ ALONSO</t>
  </si>
  <si>
    <t xml:space="preserve">28939190-8</t>
  </si>
  <si>
    <t xml:space="preserve">SANCHEZ ZAMBRANO MIULER DAVID</t>
  </si>
  <si>
    <t xml:space="preserve">YERKA ZAMBRANO</t>
  </si>
  <si>
    <t xml:space="preserve">25033740-K</t>
  </si>
  <si>
    <t xml:space="preserve">SOTO URZÚA COLOMBA JANÍS</t>
  </si>
  <si>
    <t xml:space="preserve">MABEL URZUA</t>
  </si>
  <si>
    <t xml:space="preserve">25001015-K</t>
  </si>
  <si>
    <t xml:space="preserve">UNZUETA GONZÁLEZ JESÚS VINKO ALEJANDRO</t>
  </si>
  <si>
    <t xml:space="preserve">VALDÉS ORMAZÁBAL LAURA FRANCISCA RAYEN</t>
  </si>
  <si>
    <t xml:space="preserve">VÁSQUEZ BRAVO RAÚL FELICIANO</t>
  </si>
  <si>
    <t xml:space="preserve">LUZMENIA BRAVO</t>
  </si>
  <si>
    <t xml:space="preserve">GIANELA FLORES</t>
  </si>
  <si>
    <t xml:space="preserve">JANIS OYARCE</t>
  </si>
  <si>
    <t xml:space="preserve">LUEIZA BELTRAN JUAN PABLO</t>
  </si>
  <si>
    <t xml:space="preserve">FABIOLA BELTRAN</t>
  </si>
  <si>
    <t xml:space="preserve">FARIAS EMILIA</t>
  </si>
  <si>
    <t xml:space="preserve">MARTA VALDIVIA</t>
  </si>
  <si>
    <t xml:space="preserve">CUBILLOS MATIAS</t>
  </si>
  <si>
    <t xml:space="preserve">TOTALES</t>
  </si>
  <si>
    <t xml:space="preserve">TESORERÍA 5°B - RESUMEN GENERAL CONSOLIDADO</t>
  </si>
  <si>
    <t xml:space="preserve">El curso administra dos cajas -Tesorería y Presidenta- que este resumen consolida.</t>
  </si>
  <si>
    <t xml:space="preserve">INGRESOS</t>
  </si>
  <si>
    <t xml:space="preserve">EGRESOS</t>
  </si>
  <si>
    <t xml:space="preserve">SALDO</t>
  </si>
  <si>
    <t xml:space="preserve">SALDO EN PODER DE LA PRESIDENTA — PENDIENTE DE REINTEGRO A TESORERÍA</t>
  </si>
  <si>
    <t xml:space="preserve">TOTAL DE FONDOS DISPONIBLES DEL CURSO A LA FECHA (Tesorería + saldo pendiente en poder de la Presidenta)</t>
  </si>
  <si>
    <t xml:space="preserve">TESORERÍA 5°B - INGRESOS (PLANILLA ÚNICA CUOTAS OBLIGATORIAS)</t>
  </si>
  <si>
    <t xml:space="preserve">En rojo: montos recibidos por la Presidenta (aun no reintegrados en su totalidad a Tesoreria, ver hoja CAJA PRESIDENTA). Sin color: montos recibidos por Tesoreria.</t>
  </si>
  <si>
    <t xml:space="preserve">APODERADO</t>
  </si>
  <si>
    <t xml:space="preserve">DIA ALUMNO</t>
  </si>
  <si>
    <t xml:space="preserve">TOTAL</t>
  </si>
  <si>
    <t xml:space="preserve">RECIBIDO TESORERO</t>
  </si>
  <si>
    <t xml:space="preserve">RECIBIDO PRESIDENTA</t>
  </si>
  <si>
    <t xml:space="preserve">SALDO PENDIENTE DE REINTEGRO DE LA PRESIDENTA</t>
  </si>
  <si>
    <t xml:space="preserve">TESORERÍA 5°B - INGRESOS Y EGRESOS EN PODER DEL TESORERO</t>
  </si>
  <si>
    <t xml:space="preserve">Solo montos administrados directamente por Tesorería (no incluye lo recibido por la Presidenta).</t>
  </si>
  <si>
    <t xml:space="preserve">SALDO DISPONIBLE</t>
  </si>
  <si>
    <t xml:space="preserve">GIANELLA FLORES</t>
  </si>
  <si>
    <t xml:space="preserve">VENTA CAFÉ  (REUNION)</t>
  </si>
  <si>
    <t xml:space="preserve">TESORERÍA 5°B - DETALLE DE EGRESOS</t>
  </si>
  <si>
    <t xml:space="preserve">Gastos pagados directamente por Tesorería, respaldados con boleta o comprobante.</t>
  </si>
  <si>
    <t xml:space="preserve">ACTIVIDAD</t>
  </si>
  <si>
    <t xml:space="preserve">LOCAL COMERCIAL</t>
  </si>
  <si>
    <t xml:space="preserve">COMPROBANTE</t>
  </si>
  <si>
    <t xml:space="preserve">TORTA</t>
  </si>
  <si>
    <t xml:space="preserve">PANEDERIA MODELO</t>
  </si>
  <si>
    <t xml:space="preserve">BOLETA 5346708</t>
  </si>
  <si>
    <t xml:space="preserve">BEBESTIBLES</t>
  </si>
  <si>
    <t xml:space="preserve">JUMBO</t>
  </si>
  <si>
    <t xml:space="preserve">BOLETA 3341113655</t>
  </si>
  <si>
    <t xml:space="preserve">REGALO CUMPLEAÑOS PROFESOR </t>
  </si>
  <si>
    <t xml:space="preserve">FALABELLA</t>
  </si>
  <si>
    <t xml:space="preserve">BOLETA 944627229</t>
  </si>
  <si>
    <t xml:space="preserve">DECORACION LIBRO</t>
  </si>
  <si>
    <t xml:space="preserve">TE 8084312</t>
  </si>
  <si>
    <t xml:space="preserve">BEBIDAS</t>
  </si>
  <si>
    <t xml:space="preserve">BOLETA 33883893415</t>
  </si>
  <si>
    <t xml:space="preserve">PLATOS</t>
  </si>
  <si>
    <t xml:space="preserve">COMERCIAL PAMY</t>
  </si>
  <si>
    <t xml:space="preserve">BOLETA 113895</t>
  </si>
  <si>
    <t xml:space="preserve">TORTA 16P</t>
  </si>
  <si>
    <t xml:space="preserve">BOLETA 5258358</t>
  </si>
  <si>
    <t xml:space="preserve">TORTA 24P</t>
  </si>
  <si>
    <t xml:space="preserve">BOLETA 5258336</t>
  </si>
  <si>
    <t xml:space="preserve">BANCOESTADO</t>
  </si>
  <si>
    <t xml:space="preserve">PAN COMPLETO ABONO</t>
  </si>
  <si>
    <t xml:space="preserve">PANADERIA MULTIMASAS SPA</t>
  </si>
  <si>
    <t xml:space="preserve">ROSA VILLACURA</t>
  </si>
  <si>
    <t xml:space="preserve">REUNION</t>
  </si>
  <si>
    <t xml:space="preserve">BOLETA 117765</t>
  </si>
  <si>
    <t xml:space="preserve">PANADERIA MODELO</t>
  </si>
  <si>
    <t xml:space="preserve">BOLETA 5285166</t>
  </si>
  <si>
    <t xml:space="preserve">DIA DEL NIÑO</t>
  </si>
  <si>
    <t xml:space="preserve">BOLETA 118864</t>
  </si>
  <si>
    <t xml:space="preserve">BOLETA 118920</t>
  </si>
  <si>
    <t xml:space="preserve">Total</t>
  </si>
  <si>
    <t xml:space="preserve">CAJA DE LA PRESIDENTA</t>
  </si>
  <si>
    <t xml:space="preserve">Dinero recibido directamente por la Presidenta (cuotas, rifa, convivencia, transferencias) y gastos que ella ha rendido con boleta.</t>
  </si>
  <si>
    <t xml:space="preserve">SALDO PENDIENTE DE REINTEGRO</t>
  </si>
  <si>
    <t xml:space="preserve">ESTADO</t>
  </si>
  <si>
    <t xml:space="preserve">Este monto corresponde a dinero que la Presidenta ha recibido a nombre del curso y que, a la fecha, aún no ha reintegrado a Tesorería.</t>
  </si>
  <si>
    <t xml:space="preserve">OTROS INGRESOS</t>
  </si>
  <si>
    <t xml:space="preserve">GASTOS</t>
  </si>
  <si>
    <t xml:space="preserve">TIENDA</t>
  </si>
  <si>
    <t xml:space="preserve">VASOS SERVILLETAS BOLSA</t>
  </si>
  <si>
    <t xml:space="preserve">BOLETA 108804</t>
  </si>
  <si>
    <t xml:space="preserve">CONVIVENCIA</t>
  </si>
  <si>
    <t xml:space="preserve">BOLSAS Y DULCES DEC LIBRO</t>
  </si>
  <si>
    <t xml:space="preserve">NEW YORK</t>
  </si>
  <si>
    <t xml:space="preserve">BOLETA 1958809</t>
  </si>
  <si>
    <t xml:space="preserve">TRANSFERENCIA</t>
  </si>
  <si>
    <t xml:space="preserve">RESALTADORES, PAN JAMON</t>
  </si>
  <si>
    <t xml:space="preserve">BOLETA 3370616301</t>
  </si>
  <si>
    <t xml:space="preserve">TIPOS DE ORGANIZACIÓN</t>
  </si>
  <si>
    <t xml:space="preserve">TIPOS DE CUENTA</t>
  </si>
  <si>
    <t xml:space="preserve">MEDIOS</t>
  </si>
  <si>
    <t xml:space="preserve">TIPOS MOVIMIENTO</t>
  </si>
  <si>
    <t xml:space="preserve">TIPOS APORTE</t>
  </si>
  <si>
    <t xml:space="preserve">ESTADOS</t>
  </si>
  <si>
    <t xml:space="preserve">CATEGORÍAS</t>
  </si>
  <si>
    <t xml:space="preserve">Cuenta RUT</t>
  </si>
  <si>
    <t xml:space="preserve">Efectivo</t>
  </si>
  <si>
    <t xml:space="preserve">Aporte</t>
  </si>
  <si>
    <t xml:space="preserve">Anual</t>
  </si>
  <si>
    <t xml:space="preserve">Registrado</t>
  </si>
  <si>
    <t xml:space="preserve">Alimentación</t>
  </si>
  <si>
    <t xml:space="preserve">Colegio</t>
  </si>
  <si>
    <t xml:space="preserve">Cuenta corriente</t>
  </si>
  <si>
    <t xml:space="preserve">Transferencia</t>
  </si>
  <si>
    <t xml:space="preserve">Ingreso</t>
  </si>
  <si>
    <t xml:space="preserve">Extraordinaria</t>
  </si>
  <si>
    <t xml:space="preserve">Pendiente</t>
  </si>
  <si>
    <t xml:space="preserve">Materiales</t>
  </si>
  <si>
    <t xml:space="preserve">Centro de Padres/Apoderados</t>
  </si>
  <si>
    <t xml:space="preserve">Cuenta vista</t>
  </si>
  <si>
    <t xml:space="preserve">Depósito</t>
  </si>
  <si>
    <t xml:space="preserve">Egreso</t>
  </si>
  <si>
    <t xml:space="preserve">Anulado</t>
  </si>
  <si>
    <t xml:space="preserve">Actividad</t>
  </si>
  <si>
    <t xml:space="preserve">Club deportivo</t>
  </si>
  <si>
    <t xml:space="preserve">Cuenta de ahorro</t>
  </si>
  <si>
    <t xml:space="preserve">Tarjeta</t>
  </si>
  <si>
    <t xml:space="preserve">Traspaso</t>
  </si>
  <si>
    <t xml:space="preserve">Pagado</t>
  </si>
  <si>
    <t xml:space="preserve">Transporte</t>
  </si>
  <si>
    <t xml:space="preserve">Junta de vecinos</t>
  </si>
  <si>
    <t xml:space="preserve">Otra</t>
  </si>
  <si>
    <t xml:space="preserve">Cheque</t>
  </si>
  <si>
    <t xml:space="preserve">Reembolso</t>
  </si>
  <si>
    <t xml:space="preserve">Agrupación</t>
  </si>
  <si>
    <t xml:space="preserve">Otro digital</t>
  </si>
  <si>
    <t xml:space="preserve">Servicio</t>
  </si>
  <si>
    <t xml:space="preserve">Fundación</t>
  </si>
  <si>
    <t xml:space="preserve">Compra</t>
  </si>
  <si>
    <t xml:space="preserve">Taller</t>
  </si>
  <si>
    <t xml:space="preserve">Convivencia</t>
  </si>
  <si>
    <t xml:space="preserve">Comité</t>
  </si>
  <si>
    <t xml:space="preserve">Cumpleaños</t>
  </si>
  <si>
    <t xml:space="preserve">Organización comunitaria</t>
  </si>
  <si>
    <t xml:space="preserve">Día del alumno / niño</t>
  </si>
  <si>
    <t xml:space="preserve">Otro</t>
  </si>
  <si>
    <t xml:space="preserve">PERSONAS — INTEGRANTES, TUTORES, RESPONSABLES Y BENEFICIARIOS</t>
  </si>
  <si>
    <t xml:space="preserve">Seleccione roles y datos bancarios. La suite reutiliza estos datos para evitar escribirlos nuevamente.</t>
  </si>
  <si>
    <t xml:space="preserve">ID</t>
  </si>
  <si>
    <t xml:space="preserve">TELÉFONO</t>
  </si>
  <si>
    <t xml:space="preserve">CORREO</t>
  </si>
  <si>
    <t xml:space="preserve">TUTOR / RESPONSABLE</t>
  </si>
  <si>
    <t xml:space="preserve">ROLES</t>
  </si>
  <si>
    <t xml:space="preserve">BANCO</t>
  </si>
  <si>
    <t xml:space="preserve">TIPO CUENTA</t>
  </si>
  <si>
    <t xml:space="preserve">N° CUENTA</t>
  </si>
  <si>
    <t xml:space="preserve">TITULAR CUENTA</t>
  </si>
  <si>
    <t xml:space="preserve">RUT TITULAR</t>
  </si>
  <si>
    <t xml:space="preserve">CORREO TRANSFERENCIA</t>
  </si>
  <si>
    <t xml:space="preserve">P001</t>
  </si>
  <si>
    <t xml:space="preserve">Integrante</t>
  </si>
  <si>
    <t xml:space="preserve">P002</t>
  </si>
  <si>
    <t xml:space="preserve">P003</t>
  </si>
  <si>
    <t xml:space="preserve">P004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</si>
  <si>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</si>
  <si>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</si>
  <si>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</si>
  <si>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</si>
  <si>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</si>
  <si>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</si>
  <si>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</si>
  <si>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</si>
  <si>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</si>
  <si>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</si>
  <si>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</si>
  <si>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</si>
  <si>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</si>
  <si>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</si>
  <si>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</si>
  <si>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</si>
  <si>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</si>
  <si>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</si>
  <si>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</si>
  <si>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</si>
  <si>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</si>
  <si>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</si>
  <si>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</si>
  <si>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</si>
  <si>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</si>
  <si>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</si>
  <si>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</si>
  <si>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</si>
  <si>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</si>
  <si>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</si>
  <si>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</si>
  <si>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</si>
  <si>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</si>
  <si>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PLANILLA MAESTRA DE MOVIMIENTOS — FORMATO HORIZONTAL</t>
  </si>
  <si>
    <t xml:space="preserve">Esta es la base de datos operativa. Todo lo que se registre aquí alimenta la Planilla General y los informes.</t>
  </si>
  <si>
    <t xml:space="preserve">ORGANIZACIÓN</t>
  </si>
  <si>
    <t xml:space="preserve">TIPO</t>
  </si>
  <si>
    <t xml:space="preserve">TIPO APORTE</t>
  </si>
  <si>
    <t xml:space="preserve">CONCEPTO / CATEGORÍA</t>
  </si>
  <si>
    <t xml:space="preserve">MEDIO</t>
  </si>
  <si>
    <t xml:space="preserve">PERSONA / BENEFICIARIO</t>
  </si>
  <si>
    <t xml:space="preserve">RESPONSABLE</t>
  </si>
  <si>
    <t xml:space="preserve">AUTORIZA</t>
  </si>
  <si>
    <t xml:space="preserve">RESPONSABLE DEL GASTO</t>
  </si>
  <si>
    <t xml:space="preserve">RESPALDO</t>
  </si>
  <si>
    <t xml:space="preserve">M0001</t>
  </si>
  <si>
    <t xml:space="preserve">Carga masiva desde Excel</t>
  </si>
  <si>
    <t xml:space="preserve">Carga masiva; fecha referencial.</t>
  </si>
  <si>
    <t xml:space="preserve">M0002</t>
  </si>
  <si>
    <t xml:space="preserve">M0003</t>
  </si>
  <si>
    <t xml:space="preserve">M0004</t>
  </si>
  <si>
    <t xml:space="preserve">M0005</t>
  </si>
  <si>
    <t xml:space="preserve">M0006</t>
  </si>
  <si>
    <t xml:space="preserve">M0007</t>
  </si>
  <si>
    <t xml:space="preserve">Presidenta</t>
  </si>
  <si>
    <t xml:space="preserve">M0008</t>
  </si>
  <si>
    <t xml:space="preserve">M0009</t>
  </si>
  <si>
    <t xml:space="preserve">M0010</t>
  </si>
  <si>
    <t xml:space="preserve">M0011</t>
  </si>
  <si>
    <t xml:space="preserve">M0012</t>
  </si>
  <si>
    <t xml:space="preserve">M0013</t>
  </si>
  <si>
    <t xml:space="preserve">M0014</t>
  </si>
  <si>
    <t xml:space="preserve">M0015</t>
  </si>
  <si>
    <t xml:space="preserve">M0016</t>
  </si>
  <si>
    <t xml:space="preserve">M0017</t>
  </si>
  <si>
    <t xml:space="preserve">M0018</t>
  </si>
  <si>
    <t xml:space="preserve">M0019</t>
  </si>
  <si>
    <t xml:space="preserve">M0020</t>
  </si>
  <si>
    <t xml:space="preserve">M0021</t>
  </si>
  <si>
    <t xml:space="preserve">M0022</t>
  </si>
  <si>
    <t xml:space="preserve">M0023</t>
  </si>
  <si>
    <t xml:space="preserve">M0024</t>
  </si>
  <si>
    <t xml:space="preserve">M0025</t>
  </si>
  <si>
    <t xml:space="preserve">M0026</t>
  </si>
  <si>
    <t xml:space="preserve">M0027</t>
  </si>
  <si>
    <t xml:space="preserve">M0028</t>
  </si>
  <si>
    <t xml:space="preserve">M0029</t>
  </si>
  <si>
    <t xml:space="preserve">M0030</t>
  </si>
  <si>
    <t xml:space="preserve">M0031</t>
  </si>
  <si>
    <t xml:space="preserve">M0032</t>
  </si>
  <si>
    <t xml:space="preserve">M0033</t>
  </si>
  <si>
    <t xml:space="preserve">M0034</t>
  </si>
  <si>
    <t xml:space="preserve">M0035</t>
  </si>
  <si>
    <t xml:space="preserve">M0036</t>
  </si>
  <si>
    <t xml:space="preserve">M0037</t>
  </si>
  <si>
    <t xml:space="preserve">M0038</t>
  </si>
  <si>
    <t xml:space="preserve">M0039</t>
  </si>
  <si>
    <t xml:space="preserve">M0040</t>
  </si>
  <si>
    <t xml:space="preserve">M0041</t>
  </si>
  <si>
    <t xml:space="preserve">M0042</t>
  </si>
  <si>
    <t xml:space="preserve">M0043</t>
  </si>
  <si>
    <t xml:space="preserve">M0044</t>
  </si>
  <si>
    <t xml:space="preserve">M0045</t>
  </si>
  <si>
    <t xml:space="preserve">M0046</t>
  </si>
  <si>
    <t xml:space="preserve">M0047</t>
  </si>
  <si>
    <t xml:space="preserve">M0048</t>
  </si>
  <si>
    <t xml:space="preserve">M0049</t>
  </si>
  <si>
    <t xml:space="preserve">M0050</t>
  </si>
  <si>
    <t xml:space="preserve">M0051</t>
  </si>
  <si>
    <t xml:space="preserve">M0052</t>
  </si>
  <si>
    <t xml:space="preserve">M0053</t>
  </si>
  <si>
    <t xml:space="preserve">M0054</t>
  </si>
  <si>
    <t xml:space="preserve">M0055</t>
  </si>
  <si>
    <t xml:space="preserve">M0056</t>
  </si>
  <si>
    <t xml:space="preserve">M0057</t>
  </si>
  <si>
    <t xml:space="preserve">M0058</t>
  </si>
  <si>
    <t xml:space="preserve">M0059</t>
  </si>
  <si>
    <t xml:space="preserve">M0060</t>
  </si>
  <si>
    <t xml:space="preserve">M0061</t>
  </si>
  <si>
    <t xml:space="preserve">M0062</t>
  </si>
  <si>
    <t xml:space="preserve">M0063</t>
  </si>
  <si>
    <t xml:space="preserve">M0064</t>
  </si>
  <si>
    <t xml:space="preserve">M0065</t>
  </si>
  <si>
    <t xml:space="preserve">M0066</t>
  </si>
  <si>
    <t xml:space="preserve">M0067</t>
  </si>
  <si>
    <t xml:space="preserve">M0068</t>
  </si>
  <si>
    <t xml:space="preserve">M0069</t>
  </si>
  <si>
    <t xml:space="preserve">M0070</t>
  </si>
  <si>
    <t xml:space="preserve">M0071</t>
  </si>
  <si>
    <t xml:space="preserve">M0072</t>
  </si>
  <si>
    <t xml:space="preserve">M0073</t>
  </si>
  <si>
    <t xml:space="preserve">M0074</t>
  </si>
  <si>
    <t xml:space="preserve">M0075</t>
  </si>
  <si>
    <t xml:space="preserve">M0076</t>
  </si>
  <si>
    <t xml:space="preserve">M0077</t>
  </si>
  <si>
    <t xml:space="preserve">M0078</t>
  </si>
  <si>
    <t xml:space="preserve">M0079</t>
  </si>
  <si>
    <t xml:space="preserve">M0080</t>
  </si>
  <si>
    <t xml:space="preserve">M0081</t>
  </si>
  <si>
    <t xml:space="preserve">M0082</t>
  </si>
  <si>
    <t xml:space="preserve">M0083</t>
  </si>
  <si>
    <t xml:space="preserve">M0084</t>
  </si>
  <si>
    <t xml:space="preserve">M0085</t>
  </si>
  <si>
    <t xml:space="preserve">M0086</t>
  </si>
  <si>
    <t xml:space="preserve">M0087</t>
  </si>
  <si>
    <t xml:space="preserve">M0088</t>
  </si>
  <si>
    <t xml:space="preserve">M0089</t>
  </si>
  <si>
    <t xml:space="preserve">M0090</t>
  </si>
  <si>
    <t xml:space="preserve">M0091</t>
  </si>
  <si>
    <t xml:space="preserve">M0092</t>
  </si>
  <si>
    <t xml:space="preserve">M0093</t>
  </si>
  <si>
    <t xml:space="preserve">M0094</t>
  </si>
  <si>
    <t xml:space="preserve">M0095</t>
  </si>
  <si>
    <t xml:space="preserve">M0096</t>
  </si>
  <si>
    <t xml:space="preserve">M0097</t>
  </si>
  <si>
    <t xml:space="preserve">M0098</t>
  </si>
  <si>
    <t xml:space="preserve">M0099</t>
  </si>
  <si>
    <t xml:space="preserve">M0100</t>
  </si>
  <si>
    <t xml:space="preserve">M0101</t>
  </si>
  <si>
    <t xml:space="preserve">M0102</t>
  </si>
  <si>
    <t xml:space="preserve">M0103</t>
  </si>
  <si>
    <t xml:space="preserve">M0104</t>
  </si>
  <si>
    <t xml:space="preserve">M0105</t>
  </si>
  <si>
    <t xml:space="preserve">M0106</t>
  </si>
  <si>
    <t xml:space="preserve">M0107</t>
  </si>
  <si>
    <t xml:space="preserve">M0108</t>
  </si>
  <si>
    <t xml:space="preserve">M0109</t>
  </si>
  <si>
    <t xml:space="preserve">M0110</t>
  </si>
  <si>
    <t xml:space="preserve">M0111</t>
  </si>
  <si>
    <t xml:space="preserve">M0112</t>
  </si>
  <si>
    <t xml:space="preserve">M0113</t>
  </si>
  <si>
    <t xml:space="preserve">M0114</t>
  </si>
  <si>
    <t xml:space="preserve">M0115</t>
  </si>
  <si>
    <t xml:space="preserve">M0116</t>
  </si>
  <si>
    <t xml:space="preserve">M0117</t>
  </si>
  <si>
    <t xml:space="preserve">M0118</t>
  </si>
  <si>
    <t xml:space="preserve">M0119</t>
  </si>
  <si>
    <t xml:space="preserve">M0120</t>
  </si>
  <si>
    <t xml:space="preserve">M0121</t>
  </si>
  <si>
    <t xml:space="preserve">M0122</t>
  </si>
  <si>
    <t xml:space="preserve">M0123</t>
  </si>
  <si>
    <t xml:space="preserve">M0124</t>
  </si>
  <si>
    <t xml:space="preserve">M0125</t>
  </si>
  <si>
    <t xml:space="preserve">M0126</t>
  </si>
  <si>
    <t xml:space="preserve">M0127</t>
  </si>
  <si>
    <t xml:space="preserve">M0128</t>
  </si>
  <si>
    <t xml:space="preserve">M0129</t>
  </si>
  <si>
    <t xml:space="preserve">M0130</t>
  </si>
  <si>
    <t xml:space="preserve">M0131</t>
  </si>
  <si>
    <t xml:space="preserve">M0132</t>
  </si>
  <si>
    <t xml:space="preserve">M0133</t>
  </si>
  <si>
    <t xml:space="preserve">M0134</t>
  </si>
  <si>
    <t xml:space="preserve">M0135</t>
  </si>
  <si>
    <t xml:space="preserve">M0136</t>
  </si>
  <si>
    <t xml:space="preserve">M0137</t>
  </si>
  <si>
    <t xml:space="preserve">M0138</t>
  </si>
  <si>
    <t xml:space="preserve">M0139</t>
  </si>
  <si>
    <t xml:space="preserve">M0140</t>
  </si>
  <si>
    <t xml:space="preserve">M0141</t>
  </si>
  <si>
    <t xml:space="preserve">M0142</t>
  </si>
  <si>
    <t xml:space="preserve">M0143</t>
  </si>
  <si>
    <t xml:space="preserve">M0144</t>
  </si>
  <si>
    <t xml:space="preserve">M0145</t>
  </si>
  <si>
    <t xml:space="preserve">M0146</t>
  </si>
  <si>
    <t xml:space="preserve">M0147</t>
  </si>
  <si>
    <t xml:space="preserve">M0148</t>
  </si>
  <si>
    <t xml:space="preserve">M0149</t>
  </si>
  <si>
    <t xml:space="preserve">M0150</t>
  </si>
  <si>
    <t xml:space="preserve">M0151</t>
  </si>
  <si>
    <t xml:space="preserve">M0152</t>
  </si>
  <si>
    <t xml:space="preserve">M0153</t>
  </si>
  <si>
    <t xml:space="preserve">M0154</t>
  </si>
  <si>
    <t xml:space="preserve">M0155</t>
  </si>
  <si>
    <t xml:space="preserve">M0156</t>
  </si>
  <si>
    <t xml:space="preserve">M0157</t>
  </si>
  <si>
    <t xml:space="preserve">M0158</t>
  </si>
  <si>
    <t xml:space="preserve">M0159</t>
  </si>
  <si>
    <t xml:space="preserve">M0160</t>
  </si>
  <si>
    <t xml:space="preserve">M0161</t>
  </si>
  <si>
    <t xml:space="preserve">M0162</t>
  </si>
  <si>
    <t xml:space="preserve">M0163</t>
  </si>
  <si>
    <t xml:space="preserve">M0164</t>
  </si>
  <si>
    <t xml:space="preserve">M0165</t>
  </si>
  <si>
    <t xml:space="preserve">M0166</t>
  </si>
  <si>
    <t xml:space="preserve">M0167</t>
  </si>
  <si>
    <t xml:space="preserve">M0168</t>
  </si>
  <si>
    <t xml:space="preserve">M0169</t>
  </si>
  <si>
    <t xml:space="preserve">M0170</t>
  </si>
  <si>
    <t xml:space="preserve">M0171</t>
  </si>
  <si>
    <t xml:space="preserve">M0172</t>
  </si>
  <si>
    <t xml:space="preserve">M0173</t>
  </si>
  <si>
    <t xml:space="preserve">M0174</t>
  </si>
  <si>
    <t xml:space="preserve">M0175</t>
  </si>
  <si>
    <t xml:space="preserve">M0176</t>
  </si>
  <si>
    <t xml:space="preserve">M0177</t>
  </si>
  <si>
    <t xml:space="preserve">M0178</t>
  </si>
  <si>
    <t xml:space="preserve">M0179</t>
  </si>
  <si>
    <t xml:space="preserve">M0180</t>
  </si>
  <si>
    <t xml:space="preserve">M0181</t>
  </si>
  <si>
    <t xml:space="preserve">M0182</t>
  </si>
  <si>
    <t xml:space="preserve">M0183</t>
  </si>
  <si>
    <t xml:space="preserve">M0184</t>
  </si>
  <si>
    <t xml:space="preserve">M0185</t>
  </si>
  <si>
    <t xml:space="preserve">M0186</t>
  </si>
  <si>
    <t xml:space="preserve">M0187</t>
  </si>
  <si>
    <t xml:space="preserve">M0188</t>
  </si>
  <si>
    <t xml:space="preserve">M0189</t>
  </si>
  <si>
    <t xml:space="preserve">M0190</t>
  </si>
  <si>
    <t xml:space="preserve">M0191</t>
  </si>
  <si>
    <t xml:space="preserve">Otro ingreso histórico.</t>
  </si>
  <si>
    <t xml:space="preserve">M0192</t>
  </si>
  <si>
    <t xml:space="preserve">Ingreso histórico de Presidenta.</t>
  </si>
  <si>
    <t xml:space="preserve">M0193</t>
  </si>
  <si>
    <t xml:space="preserve">M0194</t>
  </si>
  <si>
    <t xml:space="preserve">M0195</t>
  </si>
  <si>
    <t xml:space="preserve">Carga masiva desde Excel.</t>
  </si>
  <si>
    <t xml:space="preserve">M0196</t>
  </si>
  <si>
    <t xml:space="preserve">M0197</t>
  </si>
  <si>
    <t xml:space="preserve">M0198</t>
  </si>
  <si>
    <t xml:space="preserve">M0199</t>
  </si>
  <si>
    <t xml:space="preserve">M0200</t>
  </si>
  <si>
    <t xml:space="preserve">M0201</t>
  </si>
  <si>
    <t xml:space="preserve">M0202</t>
  </si>
  <si>
    <t xml:space="preserve">M0203</t>
  </si>
  <si>
    <t xml:space="preserve">M0204</t>
  </si>
  <si>
    <t xml:space="preserve">M0205</t>
  </si>
  <si>
    <t xml:space="preserve">M0206</t>
  </si>
  <si>
    <t xml:space="preserve">M0207</t>
  </si>
  <si>
    <t xml:space="preserve">M0208</t>
  </si>
  <si>
    <t xml:space="preserve">M0209</t>
  </si>
  <si>
    <t xml:space="preserve">M0210</t>
  </si>
  <si>
    <t xml:space="preserve">M0211</t>
  </si>
  <si>
    <t xml:space="preserve">M0212</t>
  </si>
  <si>
    <t xml:space="preserve">M0213</t>
  </si>
  <si>
    <t xml:space="preserve">M0214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</si>
</sst>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dd/mm/yyyy"/>
    <numFmt numFmtId="167" formatCode="_ \$* #,##0_ ;_ \$* \-#,##0_ ;_ \$* \-_ ;_ @_ "/>
    <numFmt numFmtId="168" formatCode="#,##0"/>
    <numFmt numFmtId="169" formatCode="d\-mmm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1F4E78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2"/>
      <name val="Cambria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b val="true"/>
      <sz val="13"/>
      <color rgb="FFFF0000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3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i val="true"/>
      <sz val="9"/>
      <color rgb="FFC00000"/>
      <name val="Arial"/>
      <family val="0"/>
      <charset val="1"/>
    </font>
    <font>
      <sz val="11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1"/>
      <color rgb="FFC00000"/>
      <name val="Calibri"/>
      <family val="0"/>
      <charset val="1"/>
    </font>
    <font>
      <b val="true"/>
      <sz val="13"/>
      <color rgb="FFC00000"/>
      <name val="Calibri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1F4E78"/>
      <name val="Calibri"/>
      <family val="0"/>
      <charset val="1"/>
    </font>
    <font>
      <sz val="16"/>
      <color theme="1"/>
      <name val="Calibri"/>
      <family val="2"/>
      <charset val="1"/>
    </font>
    <font>
      <sz val="16"/>
      <color rgb="FFFF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3"/>
      <color rgb="FF000000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C00000"/>
      <name val="Calibri"/>
      <family val="0"/>
      <charset val="1"/>
    </font>
    <font>
      <b val="true"/>
      <i val="true"/>
      <sz val="10"/>
      <name val="Calibri"/>
      <family val="0"/>
      <charset val="1"/>
    </font>
    <font>
      <b val="true"/>
      <i val="true"/>
      <sz val="9"/>
      <color rgb="FFFF00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E2F0D9"/>
      </patternFill>
    </fill>
    <fill>
      <patternFill patternType="solid">
        <fgColor rgb="FFEEF5FB"/>
        <bgColor rgb="FFF2F2F2"/>
      </patternFill>
    </fill>
    <fill>
      <patternFill patternType="solid">
        <fgColor rgb="FFE2F0D9"/>
        <bgColor rgb="FFDCE6F1"/>
      </patternFill>
    </fill>
    <fill>
      <patternFill patternType="solid">
        <fgColor rgb="FFFFF2CC"/>
        <bgColor rgb="FFFCE4E4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EEF5FB"/>
      </patternFill>
    </fill>
    <fill>
      <patternFill patternType="solid">
        <fgColor rgb="FFFCE4E4"/>
        <bgColor rgb="FFF2F2F2"/>
      </patternFill>
    </fill>
    <fill>
      <patternFill patternType="solid">
        <fgColor theme="4"/>
        <bgColor rgb="FF969696"/>
      </patternFill>
    </fill>
    <fill>
      <patternFill patternType="solid">
        <fgColor theme="0"/>
        <bgColor rgb="FFEEF5FB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 diagonalUp="false" diagonalDown="false">
      <left style="thin">
        <color theme="5" tint="0.3998"/>
      </left>
      <right/>
      <top/>
      <bottom/>
      <diagonal/>
    </border>
    <border diagonalUp="false" diagonalDown="false">
      <left style="thin">
        <color theme="5" tint="0.3998"/>
      </left>
      <right style="thin">
        <color theme="5" tint="0.3998"/>
      </right>
      <top/>
      <bottom/>
      <diagonal/>
    </border>
    <border diagonalUp="false" diagonalDown="false">
      <left style="thin">
        <color theme="5" tint="0.3998"/>
      </left>
      <right/>
      <top style="thin">
        <color theme="5" tint="0.3998"/>
      </top>
      <bottom/>
      <diagonal/>
    </border>
    <border diagonalUp="false" diagonalDown="false">
      <left style="thin">
        <color theme="5" tint="0.3998"/>
      </left>
      <right style="thin">
        <color theme="5" tint="0.3998"/>
      </right>
      <top style="thin">
        <color theme="5" tint="0.3998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9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8" fillId="9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1" fillId="8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7" fillId="8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7" fontId="33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8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1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1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36" fillId="8" borderId="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9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38" fillId="9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5" fillId="8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8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5B9BD5"/>
      <rgbColor rgb="FF993366"/>
      <rgbColor rgb="FFFFF2CC"/>
      <rgbColor rgb="FFEEF5FB"/>
      <rgbColor rgb="FF660066"/>
      <rgbColor rgb="FFFF8080"/>
      <rgbColor rgb="FF0066CC"/>
      <rgbColor rgb="FFB7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FCE4E4"/>
      <rgbColor rgb="FFFF99CC"/>
      <rgbColor rgb="FFCC99FF"/>
      <rgbColor rgb="FFF4B183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22"/>
    <col collapsed="false" customWidth="true" hidden="false" outlineLevel="0" max="6" min="6" style="0" width="26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B5" s="4" t="s">
        <v>6</v>
      </c>
      <c r="C5" s="5" t="n">
        <f aca="false">SUMIFS(MOVIMIENTOS!$I:$I,MOVIMIENTOS!$D:$D,"Aporte",MOVIMIENTOS!$G:$G,"Tesorería")+SUMIFS(MOVIMIENTOS!$I:$I,MOVIMIENTOS!$D:$D,"Ingreso",MOVIMIENTOS!$G:$G,"Tesorería")</f>
        <v>404000</v>
      </c>
      <c r="D5" s="5" t="n">
        <f aca="false">SUMIFS(MOVIMIENTOS!$I:$I,MOVIMIENTOS!$D:$D,"Aporte",MOVIMIENTOS!$G:$G,"Presidenta")+SUMIFS(MOVIMIENTOS!$I:$I,MOVIMIENTOS!$D:$D,"Ingreso",MOVIMIENTOS!$G:$G,"Presidenta")</f>
        <v>106000</v>
      </c>
      <c r="E5" s="5" t="n">
        <f aca="false">C5+D5</f>
        <v>510000</v>
      </c>
    </row>
    <row r="6" customFormat="false" ht="15" hidden="false" customHeight="false" outlineLevel="0" collapsed="false">
      <c r="B6" s="4" t="s">
        <v>7</v>
      </c>
      <c r="C6" s="5" t="n">
        <f aca="false">SUMIFS(MOVIMIENTOS!$I:$I,MOVIMIENTOS!$D:$D,"Egreso",MOVIMIENTOS!$G:$G,"Tesorería")</f>
        <v>200970</v>
      </c>
      <c r="D6" s="5" t="n">
        <f aca="false">SUMIFS(MOVIMIENTOS!$I:$I,MOVIMIENTOS!$D:$D,"Egreso",MOVIMIENTOS!$G:$G,"Presidenta")</f>
        <v>74692</v>
      </c>
      <c r="E6" s="5" t="n">
        <f aca="false">C6+D6</f>
        <v>275662</v>
      </c>
    </row>
    <row r="7" customFormat="false" ht="15" hidden="false" customHeight="false" outlineLevel="0" collapsed="false">
      <c r="B7" s="6" t="s">
        <v>8</v>
      </c>
      <c r="C7" s="7" t="n">
        <f aca="false">C5-C6</f>
        <v>203030</v>
      </c>
      <c r="D7" s="7" t="n">
        <f aca="false">D5-D6</f>
        <v>31308</v>
      </c>
      <c r="E7" s="7" t="n">
        <f aca="false">C7+D7</f>
        <v>234338</v>
      </c>
    </row>
    <row r="8" customFormat="false" ht="15" hidden="false" customHeight="false" outlineLevel="0" collapsed="false">
      <c r="B8" s="4" t="s">
        <v>9</v>
      </c>
      <c r="C8" s="5" t="n">
        <f aca="false">C7</f>
        <v>203030</v>
      </c>
      <c r="D8" s="5" t="n">
        <f aca="false">D7</f>
        <v>31308</v>
      </c>
      <c r="E8" s="5" t="n">
        <f aca="false">C8+D8</f>
        <v>234338</v>
      </c>
    </row>
    <row r="10" customFormat="false" ht="15" hidden="false" customHeight="false" outlineLevel="0" collapsed="false">
      <c r="B10" s="8" t="s">
        <v>10</v>
      </c>
    </row>
    <row r="11" customFormat="false" ht="15" hidden="false" customHeight="false" outlineLevel="0" collapsed="false">
      <c r="B11" s="9" t="s">
        <v>11</v>
      </c>
      <c r="E11" s="10" t="n">
        <v>203030</v>
      </c>
    </row>
    <row r="12" customFormat="false" ht="15" hidden="false" customHeight="false" outlineLevel="0" collapsed="false">
      <c r="B12" s="9" t="s">
        <v>12</v>
      </c>
      <c r="E12" s="10" t="n">
        <v>31308</v>
      </c>
    </row>
    <row r="13" customFormat="false" ht="15" hidden="false" customHeight="false" outlineLevel="0" collapsed="false">
      <c r="B13" s="9" t="s">
        <v>13</v>
      </c>
      <c r="E13" s="10" t="n">
        <v>234338</v>
      </c>
    </row>
    <row r="15" customFormat="false" ht="15" hidden="false" customHeight="false" outlineLevel="0" collapsed="false">
      <c r="B15" s="8" t="s">
        <v>14</v>
      </c>
    </row>
    <row r="16" customFormat="false" ht="15" hidden="false" customHeight="false" outlineLevel="0" collapsed="false">
      <c r="B16" s="3" t="s">
        <v>15</v>
      </c>
      <c r="C16" s="3" t="s">
        <v>16</v>
      </c>
      <c r="D16" s="3" t="s">
        <v>17</v>
      </c>
      <c r="E16" s="3" t="s">
        <v>18</v>
      </c>
    </row>
    <row r="17" customFormat="false" ht="15" hidden="false" customHeight="false" outlineLevel="0" collapsed="false">
      <c r="B17" s="11" t="n">
        <v>46240</v>
      </c>
      <c r="C17" s="9" t="s">
        <v>19</v>
      </c>
      <c r="D17" s="9" t="s">
        <v>20</v>
      </c>
      <c r="E17" s="5" t="n">
        <v>17330</v>
      </c>
    </row>
    <row r="18" customFormat="false" ht="15" hidden="false" customHeight="false" outlineLevel="0" collapsed="false">
      <c r="B18" s="11" t="n">
        <v>46233</v>
      </c>
      <c r="C18" s="9" t="s">
        <v>21</v>
      </c>
      <c r="D18" s="9" t="s">
        <v>20</v>
      </c>
      <c r="E18" s="5" t="n">
        <v>25490</v>
      </c>
    </row>
    <row r="19" customFormat="false" ht="15" hidden="false" customHeight="false" outlineLevel="0" collapsed="false">
      <c r="B19" s="11" t="n">
        <v>46225</v>
      </c>
      <c r="C19" s="9" t="s">
        <v>22</v>
      </c>
      <c r="D19" s="9" t="s">
        <v>20</v>
      </c>
      <c r="E19" s="5" t="n">
        <v>1100</v>
      </c>
    </row>
    <row r="20" customFormat="false" ht="15" hidden="false" customHeight="false" outlineLevel="0" collapsed="false">
      <c r="B20" s="11" t="n">
        <v>46209</v>
      </c>
      <c r="C20" s="9" t="s">
        <v>23</v>
      </c>
      <c r="D20" s="9" t="s">
        <v>20</v>
      </c>
      <c r="E20" s="5" t="n">
        <v>4250</v>
      </c>
    </row>
    <row r="21" customFormat="false" ht="15" hidden="false" customHeight="false" outlineLevel="0" collapsed="false">
      <c r="B21" s="11" t="n">
        <v>46192</v>
      </c>
      <c r="C21" s="9" t="s">
        <v>24</v>
      </c>
      <c r="D21" s="9" t="s">
        <v>20</v>
      </c>
      <c r="E21" s="5" t="n">
        <v>5000</v>
      </c>
    </row>
    <row r="22" customFormat="false" ht="15" hidden="false" customHeight="false" outlineLevel="0" collapsed="false">
      <c r="B22" s="11" t="n">
        <v>46192</v>
      </c>
      <c r="C22" s="9" t="s">
        <v>25</v>
      </c>
      <c r="D22" s="9" t="s">
        <v>20</v>
      </c>
      <c r="E22" s="5" t="n">
        <v>10930</v>
      </c>
    </row>
    <row r="23" customFormat="false" ht="15" hidden="false" customHeight="false" outlineLevel="0" collapsed="false">
      <c r="B23" s="11" t="n">
        <v>46192</v>
      </c>
      <c r="C23" s="9" t="s">
        <v>26</v>
      </c>
      <c r="D23" s="9" t="s">
        <v>20</v>
      </c>
      <c r="E23" s="5" t="n">
        <v>13040</v>
      </c>
    </row>
    <row r="24" customFormat="false" ht="15" hidden="false" customHeight="false" outlineLevel="0" collapsed="false">
      <c r="B24" s="11" t="n">
        <v>46191</v>
      </c>
      <c r="C24" s="9" t="s">
        <v>27</v>
      </c>
      <c r="D24" s="9" t="s">
        <v>20</v>
      </c>
      <c r="E24" s="5" t="n">
        <v>18550</v>
      </c>
    </row>
    <row r="27" customFormat="false" ht="15" hidden="false" customHeight="false" outlineLevel="0" collapsed="false">
      <c r="B27" s="8" t="s">
        <v>28</v>
      </c>
    </row>
    <row r="28" customFormat="false" ht="15" hidden="false" customHeight="false" outlineLevel="0" collapsed="false">
      <c r="B28" s="4" t="s">
        <v>29</v>
      </c>
      <c r="C28" s="12"/>
    </row>
    <row r="29" customFormat="false" ht="15" hidden="false" customHeight="false" outlineLevel="0" collapsed="false">
      <c r="B29" s="4" t="s">
        <v>30</v>
      </c>
      <c r="C29" s="12"/>
    </row>
    <row r="30" customFormat="false" ht="15" hidden="false" customHeight="false" outlineLevel="0" collapsed="false">
      <c r="B30" s="4" t="s">
        <v>31</v>
      </c>
      <c r="C30" s="12"/>
    </row>
    <row r="31" customFormat="false" ht="15" hidden="false" customHeight="false" outlineLevel="0" collapsed="false">
      <c r="B31" s="4" t="s">
        <v>32</v>
      </c>
      <c r="C31" s="12"/>
    </row>
  </sheetData>
  <mergeCells count="2">
    <mergeCell ref="B1:H1"/>
    <mergeCell ref="B2:H2"/>
  </mergeCells>
  <printOptions headings="false" gridLines="false" gridLinesSet="true" horizontalCentered="false" verticalCentered="false"/>
  <pageMargins left="0.25" right="0.25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&amp;LTesorería Multiorganizacional&amp;RPágina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</cols>
  <sheetData>
    <row r="1" customFormat="false" ht="27.75" hidden="false" customHeight="true" outlineLevel="0" collapsed="false">
      <c r="A1" s="1" t="s">
        <v>33</v>
      </c>
      <c r="B1" s="1"/>
    </row>
    <row r="2" customFormat="false" ht="30" hidden="false" customHeight="true" outlineLevel="0" collapsed="false">
      <c r="A2" s="2" t="s">
        <v>34</v>
      </c>
      <c r="B2" s="2"/>
    </row>
    <row r="4" customFormat="false" ht="15" hidden="false" customHeight="false" outlineLevel="0" collapsed="false">
      <c r="A4" s="3" t="s">
        <v>35</v>
      </c>
      <c r="B4" s="3" t="s">
        <v>36</v>
      </c>
    </row>
    <row r="5" customFormat="false" ht="15" hidden="false" customHeight="false" outlineLevel="0" collapsed="false">
      <c r="A5" s="4" t="s">
        <v>37</v>
      </c>
      <c r="B5" s="12" t="s">
        <v>38</v>
      </c>
    </row>
    <row r="6" customFormat="false" ht="15" hidden="false" customHeight="false" outlineLevel="0" collapsed="false">
      <c r="A6" s="4" t="s">
        <v>39</v>
      </c>
      <c r="B6" s="13" t="s">
        <v>40</v>
      </c>
    </row>
    <row r="7" customFormat="false" ht="15" hidden="false" customHeight="false" outlineLevel="0" collapsed="false">
      <c r="A7" s="4" t="s">
        <v>41</v>
      </c>
      <c r="B7" s="12" t="s">
        <v>42</v>
      </c>
    </row>
    <row r="8" customFormat="false" ht="15" hidden="false" customHeight="false" outlineLevel="0" collapsed="false">
      <c r="A8" s="4" t="s">
        <v>43</v>
      </c>
      <c r="B8" s="12" t="s">
        <v>44</v>
      </c>
    </row>
    <row r="9" customFormat="false" ht="15" hidden="false" customHeight="false" outlineLevel="0" collapsed="false">
      <c r="A9" s="4" t="s">
        <v>45</v>
      </c>
      <c r="B9" s="12"/>
    </row>
    <row r="10" customFormat="false" ht="15" hidden="false" customHeight="false" outlineLevel="0" collapsed="false">
      <c r="A10" s="4" t="s">
        <v>46</v>
      </c>
      <c r="B10" s="12"/>
    </row>
    <row r="11" customFormat="false" ht="15" hidden="false" customHeight="false" outlineLevel="0" collapsed="false">
      <c r="A11" s="4" t="s">
        <v>32</v>
      </c>
      <c r="B11" s="12"/>
    </row>
    <row r="12" customFormat="false" ht="15" hidden="false" customHeight="false" outlineLevel="0" collapsed="false">
      <c r="A12" s="4" t="s">
        <v>31</v>
      </c>
      <c r="B12" s="12" t="s">
        <v>47</v>
      </c>
    </row>
    <row r="13" customFormat="false" ht="15" hidden="false" customHeight="false" outlineLevel="0" collapsed="false">
      <c r="A13" s="4" t="s">
        <v>48</v>
      </c>
      <c r="B13" s="12"/>
    </row>
    <row r="14" customFormat="false" ht="15" hidden="false" customHeight="false" outlineLevel="0" collapsed="false">
      <c r="A14" s="4" t="s">
        <v>49</v>
      </c>
      <c r="B14" s="12"/>
    </row>
    <row r="15" customFormat="false" ht="15" hidden="false" customHeight="false" outlineLevel="0" collapsed="false">
      <c r="A15" s="4" t="s">
        <v>50</v>
      </c>
      <c r="B15" s="12"/>
    </row>
    <row r="16" customFormat="false" ht="15" hidden="false" customHeight="false" outlineLevel="0" collapsed="false">
      <c r="A16" s="4" t="s">
        <v>51</v>
      </c>
      <c r="B16" s="12"/>
    </row>
    <row r="17" customFormat="false" ht="15" hidden="false" customHeight="false" outlineLevel="0" collapsed="false">
      <c r="A17" s="4" t="s">
        <v>52</v>
      </c>
      <c r="B17" s="12" t="s">
        <v>47</v>
      </c>
    </row>
    <row r="18" customFormat="false" ht="15" hidden="false" customHeight="false" outlineLevel="0" collapsed="false">
      <c r="A18" s="4" t="s">
        <v>53</v>
      </c>
      <c r="B18" s="12"/>
    </row>
    <row r="19" customFormat="false" ht="15" hidden="false" customHeight="false" outlineLevel="0" collapsed="false">
      <c r="A19" s="4" t="s">
        <v>54</v>
      </c>
      <c r="B19" s="12"/>
    </row>
    <row r="20" customFormat="false" ht="15" hidden="false" customHeight="false" outlineLevel="0" collapsed="false">
      <c r="A20" s="4" t="s">
        <v>55</v>
      </c>
      <c r="B20" s="12"/>
    </row>
    <row r="21" customFormat="false" ht="15" hidden="false" customHeight="false" outlineLevel="0" collapsed="false">
      <c r="A21" s="4" t="s">
        <v>56</v>
      </c>
      <c r="B21" s="12"/>
    </row>
    <row r="22" customFormat="false" ht="15" hidden="false" customHeight="false" outlineLevel="0" collapsed="false">
      <c r="A22" s="4" t="s">
        <v>57</v>
      </c>
      <c r="B22" s="12"/>
    </row>
    <row r="23" customFormat="false" ht="15" hidden="false" customHeight="false" outlineLevel="0" collapsed="false">
      <c r="A23" s="4" t="s">
        <v>58</v>
      </c>
      <c r="B23" s="12"/>
    </row>
    <row r="24" customFormat="false" ht="15" hidden="false" customHeight="false" outlineLevel="0" collapsed="false">
      <c r="A24" s="4" t="s">
        <v>59</v>
      </c>
      <c r="B24" s="12"/>
    </row>
  </sheetData>
  <mergeCells count="2">
    <mergeCell ref="A1:B1"/>
    <mergeCell ref="A2:B2"/>
  </mergeCells>
  <dataValidations count="2">
    <dataValidation allowBlank="false" errorStyle="stop" operator="between" showDropDown="false" showErrorMessage="false" showInputMessage="false" sqref="B6" type="list">
      <formula1>TiposOrganizacion</formula1>
      <formula2>0</formula2>
    </dataValidation>
    <dataValidation allowBlank="true" errorStyle="stop" operator="between" showDropDown="false" showErrorMessage="false" showInputMessage="false" sqref="B20" type="list">
      <formula1>TiposCuenta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&amp;LTesorería Multiorganizacional&amp;RPágina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10" min="5" style="0" width="11"/>
    <col collapsed="false" customWidth="true" hidden="false" outlineLevel="0" max="14" min="11" style="0" width="13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8" min="17" style="0" width="18"/>
    <col collapsed="false" customWidth="true" hidden="false" outlineLevel="0" max="20" min="19" style="0" width="14"/>
    <col collapsed="false" customWidth="true" hidden="false" outlineLevel="0" max="21" min="21" style="0" width="11"/>
    <col collapsed="false" customWidth="true" hidden="false" outlineLevel="0" max="22" min="22" style="0" width="20"/>
    <col collapsed="false" customWidth="true" hidden="false" outlineLevel="0" max="23" min="23" style="0" width="18"/>
    <col collapsed="false" customWidth="true" hidden="false" outlineLevel="0" max="24" min="24" style="0" width="16"/>
    <col collapsed="false" customWidth="true" hidden="false" outlineLevel="0" max="25" min="25" style="0" width="30"/>
  </cols>
  <sheetData>
    <row r="1" customFormat="false" ht="27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30" hidden="false" customHeight="true" outlineLevel="0" collapsed="false">
      <c r="A2" s="14" t="s">
        <v>61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4" customFormat="false" ht="37.5" hidden="false" customHeight="true" outlineLevel="0" collapsed="false">
      <c r="A4" s="15" t="s">
        <v>62</v>
      </c>
      <c r="B4" s="15" t="s">
        <v>30</v>
      </c>
      <c r="C4" s="15" t="s">
        <v>63</v>
      </c>
      <c r="D4" s="15" t="s">
        <v>64</v>
      </c>
      <c r="E4" s="15" t="s">
        <v>65</v>
      </c>
      <c r="F4" s="15" t="s">
        <v>66</v>
      </c>
      <c r="G4" s="15" t="s">
        <v>67</v>
      </c>
      <c r="H4" s="15" t="s">
        <v>68</v>
      </c>
      <c r="I4" s="15" t="s">
        <v>69</v>
      </c>
      <c r="J4" s="15" t="s">
        <v>70</v>
      </c>
      <c r="K4" s="15" t="s">
        <v>71</v>
      </c>
      <c r="L4" s="15" t="s">
        <v>72</v>
      </c>
      <c r="M4" s="15" t="s">
        <v>73</v>
      </c>
      <c r="N4" s="15" t="s">
        <v>74</v>
      </c>
      <c r="O4" s="15" t="s">
        <v>75</v>
      </c>
      <c r="P4" s="15" t="s">
        <v>76</v>
      </c>
      <c r="Q4" s="15" t="s">
        <v>77</v>
      </c>
      <c r="R4" s="15" t="s">
        <v>78</v>
      </c>
      <c r="S4" s="15" t="s">
        <v>79</v>
      </c>
      <c r="T4" s="15" t="s">
        <v>80</v>
      </c>
      <c r="U4" s="15" t="s">
        <v>81</v>
      </c>
      <c r="V4" s="15" t="s">
        <v>82</v>
      </c>
      <c r="W4" s="15" t="s">
        <v>83</v>
      </c>
      <c r="X4" s="15" t="s">
        <v>84</v>
      </c>
      <c r="Y4" s="15" t="s">
        <v>85</v>
      </c>
    </row>
    <row r="5" customFormat="false" ht="15" hidden="false" customHeight="false" outlineLevel="0" collapsed="false">
      <c r="A5" s="9" t="n">
        <v>1</v>
      </c>
      <c r="B5" s="9" t="s">
        <v>86</v>
      </c>
      <c r="C5" s="9" t="s">
        <v>87</v>
      </c>
      <c r="D5" s="9" t="s">
        <v>88</v>
      </c>
      <c r="E5" s="5" t="n">
        <f aca="false">SUMIFS(MOVIMIENTOS!$I:$I,MOVIMIENTOS!$D:$D,"Aporte",MOVIMIENTOS!$E:$E,"Anual",MOVIMIENTOS!$J:$J,$C5,MOVIMIENTOS!$B:$B,"&gt;="&amp;DATE(2026,3,1),MOVIMIENTOS!$B:$B,"&lt;"&amp;DATE(2026,4,1))</f>
        <v>3000</v>
      </c>
      <c r="F5" s="5" t="n">
        <f aca="false">SUMIFS(MOVIMIENTOS!$I:$I,MOVIMIENTOS!$D:$D,"Aporte",MOVIMIENTOS!$E:$E,"Anual",MOVIMIENTOS!$J:$J,$C5,MOVIMIENTOS!$B:$B,"&gt;="&amp;DATE(2026,4,1),MOVIMIENTOS!$B:$B,"&lt;"&amp;DATE(2026,5,1))</f>
        <v>3000</v>
      </c>
      <c r="G5" s="5" t="n">
        <f aca="false">SUMIFS(MOVIMIENTOS!$I:$I,MOVIMIENTOS!$D:$D,"Aporte",MOVIMIENTOS!$E:$E,"Anual",MOVIMIENTOS!$J:$J,$C5,MOVIMIENTOS!$B:$B,"&gt;="&amp;DATE(2026,5,1),MOVIMIENTOS!$B:$B,"&lt;"&amp;DATE(2026,6,1))</f>
        <v>3000</v>
      </c>
      <c r="H5" s="5" t="n">
        <f aca="false">SUMIFS(MOVIMIENTOS!$I:$I,MOVIMIENTOS!$D:$D,"Aporte",MOVIMIENTOS!$E:$E,"Anual",MOVIMIENTOS!$J:$J,$C5,MOVIMIENTOS!$B:$B,"&gt;="&amp;DATE(2026,6,1),MOVIMIENTOS!$B:$B,"&lt;"&amp;DATE(2026,7,1))</f>
        <v>3000</v>
      </c>
      <c r="I5" s="5" t="n">
        <f aca="false">SUMIFS(MOVIMIENTOS!$I:$I,MOVIMIENTOS!$D:$D,"Aporte",MOVIMIENTOS!$E:$E,"Anual",MOVIMIENTOS!$J:$J,$C5,MOVIMIENTOS!$B:$B,"&gt;="&amp;DATE(2026,7,1),MOVIMIENTOS!$B:$B,"&lt;"&amp;DATE(2026,8,1))</f>
        <v>3000</v>
      </c>
      <c r="J5" s="5" t="n">
        <f aca="false">SUMIFS(MOVIMIENTOS!$I:$I,MOVIMIENTOS!$D:$D,"Aporte",MOVIMIENTOS!$E:$E,"Anual",MOVIMIENTOS!$J:$J,$C5,MOVIMIENTOS!$B:$B,"&gt;="&amp;DATE(2026,8,1),MOVIMIENTOS!$B:$B,"&lt;"&amp;DATE(2026,9,1))</f>
        <v>0</v>
      </c>
      <c r="K5" s="5" t="n">
        <f aca="false">SUMIFS(MOVIMIENTOS!$I:$I,MOVIMIENTOS!$D:$D,"Aporte",MOVIMIENTOS!$E:$E,"Anual",MOVIMIENTOS!$J:$J,$C5,MOVIMIENTOS!$B:$B,"&gt;="&amp;DATE(2026,9,1),MOVIMIENTOS!$B:$B,"&lt;"&amp;DATE(2026,10,1))</f>
        <v>0</v>
      </c>
      <c r="L5" s="5" t="n">
        <f aca="false">SUMIFS(MOVIMIENTOS!$I:$I,MOVIMIENTOS!$D:$D,"Aporte",MOVIMIENTOS!$E:$E,"Anual",MOVIMIENTOS!$J:$J,$C5,MOVIMIENTOS!$B:$B,"&gt;="&amp;DATE(2026,10,1),MOVIMIENTOS!$B:$B,"&lt;"&amp;DATE(2026,11,1))</f>
        <v>0</v>
      </c>
      <c r="M5" s="5" t="n">
        <f aca="false">SUMIFS(MOVIMIENTOS!$I:$I,MOVIMIENTOS!$D:$D,"Aporte",MOVIMIENTOS!$E:$E,"Anual",MOVIMIENTOS!$J:$J,$C5,MOVIMIENTOS!$B:$B,"&gt;="&amp;DATE(2026,11,1),MOVIMIENTOS!$B:$B,"&lt;"&amp;DATE(2026,12,1))</f>
        <v>0</v>
      </c>
      <c r="N5" s="5" t="n">
        <f aca="false">SUMIFS(MOVIMIENTOS!$I:$I,MOVIMIENTOS!$D:$D,"Aporte",MOVIMIENTOS!$E:$E,"Anual",MOVIMIENTOS!$J:$J,$C5,MOVIMIENTOS!$B:$B,"&gt;="&amp;DATE(2026,12,1),MOVIMIENTOS!$B:$B,"&lt;"&amp;DATE(2026,13,1))</f>
        <v>0</v>
      </c>
      <c r="O5" s="5" t="n">
        <f aca="false">SUM(E5:N5)</f>
        <v>15000</v>
      </c>
      <c r="P5" s="5" t="n">
        <f aca="false">SUMIFS(MOVIMIENTOS!$I:$I,MOVIMIENTOS!$D:$D,"Aporte",MOVIMIENTOS!$E:$E,"Extraordinaria",MOVIMIENTOS!$F:$F,P$4,MOVIMIENTOS!$J:$J,$C5)</f>
        <v>1000</v>
      </c>
      <c r="Q5" s="16" t="n">
        <f aca="false">SUMIFS(MOVIMIENTOS!$I:$I,MOVIMIENTOS!$D:$D,"Aporte",MOVIMIENTOS!$E:$E,"Extraordinaria",MOVIMIENTOS!$F:$F,Q$4,MOVIMIENTOS!$J:$J,$C5)</f>
        <v>2000</v>
      </c>
      <c r="R5" s="5" t="n">
        <f aca="false">SUMIFS(MOVIMIENTOS!$I:$I,MOVIMIENTOS!$D:$D,"Aporte",MOVIMIENTOS!$E:$E,"Extraordinaria",MOVIMIENTOS!$F:$F,R$4,MOVIMIENTOS!$J:$J,$C5)</f>
        <v>0</v>
      </c>
      <c r="S5" s="5" t="n">
        <f aca="false">SUMIFS(MOVIMIENTOS!$I:$I,MOVIMIENTOS!$D:$D,"Aporte",MOVIMIENTOS!$E:$E,"Extraordinaria",MOVIMIENTOS!$F:$F,S$4,MOVIMIENTOS!$J:$J,$C5)</f>
        <v>0</v>
      </c>
      <c r="T5" s="5" t="n">
        <f aca="false">SUMIFS(MOVIMIENTOS!$I:$I,MOVIMIENTOS!$D:$D,"Aporte",MOVIMIENTOS!$E:$E,"Extraordinaria",MOVIMIENTOS!$F:$F,T$4,MOVIMIENTOS!$J:$J,$C5)</f>
        <v>0</v>
      </c>
      <c r="U5" s="5" t="n">
        <f aca="false">SUMIFS(MOVIMIENTOS!$I:$I,MOVIMIENTOS!$D:$D,"Aporte",MOVIMIENTOS!$E:$E,"Extraordinaria",MOVIMIENTOS!$F:$F,U$4,MOVIMIENTOS!$J:$J,$C5)</f>
        <v>0</v>
      </c>
      <c r="V5" s="5" t="n">
        <f aca="false">SUMIFS(MOVIMIENTOS!$I:$I,MOVIMIENTOS!$D:$D,"Aporte",MOVIMIENTOS!$E:$E,"Extraordinaria",MOVIMIENTOS!$F:$F,V$4,MOVIMIENTOS!$J:$J,$C5)</f>
        <v>0</v>
      </c>
      <c r="W5" s="5" t="n">
        <f aca="false">SUM(P5:V5)</f>
        <v>3000</v>
      </c>
      <c r="X5" s="5" t="n">
        <f aca="false">O5+W5</f>
        <v>18000</v>
      </c>
      <c r="Y5" s="9"/>
    </row>
    <row r="6" customFormat="false" ht="15" hidden="false" customHeight="false" outlineLevel="0" collapsed="false">
      <c r="A6" s="9" t="n">
        <v>2</v>
      </c>
      <c r="B6" s="9" t="s">
        <v>89</v>
      </c>
      <c r="C6" s="9" t="s">
        <v>90</v>
      </c>
      <c r="D6" s="9" t="s">
        <v>91</v>
      </c>
      <c r="E6" s="5" t="n">
        <f aca="false">SUMIFS(MOVIMIENTOS!$I:$I,MOVIMIENTOS!$D:$D,"Aporte",MOVIMIENTOS!$E:$E,"Anual",MOVIMIENTOS!$J:$J,$C6,MOVIMIENTOS!$B:$B,"&gt;="&amp;DATE(2026,3,1),MOVIMIENTOS!$B:$B,"&lt;"&amp;DATE(2026,4,1))</f>
        <v>3000</v>
      </c>
      <c r="F6" s="5" t="n">
        <f aca="false">SUMIFS(MOVIMIENTOS!$I:$I,MOVIMIENTOS!$D:$D,"Aporte",MOVIMIENTOS!$E:$E,"Anual",MOVIMIENTOS!$J:$J,$C6,MOVIMIENTOS!$B:$B,"&gt;="&amp;DATE(2026,4,1),MOVIMIENTOS!$B:$B,"&lt;"&amp;DATE(2026,5,1))</f>
        <v>0</v>
      </c>
      <c r="G6" s="5" t="n">
        <f aca="false">SUMIFS(MOVIMIENTOS!$I:$I,MOVIMIENTOS!$D:$D,"Aporte",MOVIMIENTOS!$E:$E,"Anual",MOVIMIENTOS!$J:$J,$C6,MOVIMIENTOS!$B:$B,"&gt;="&amp;DATE(2026,5,1),MOVIMIENTOS!$B:$B,"&lt;"&amp;DATE(2026,6,1))</f>
        <v>0</v>
      </c>
      <c r="H6" s="5" t="n">
        <f aca="false">SUMIFS(MOVIMIENTOS!$I:$I,MOVIMIENTOS!$D:$D,"Aporte",MOVIMIENTOS!$E:$E,"Anual",MOVIMIENTOS!$J:$J,$C6,MOVIMIENTOS!$B:$B,"&gt;="&amp;DATE(2026,6,1),MOVIMIENTOS!$B:$B,"&lt;"&amp;DATE(2026,7,1))</f>
        <v>0</v>
      </c>
      <c r="I6" s="5" t="n">
        <f aca="false">SUMIFS(MOVIMIENTOS!$I:$I,MOVIMIENTOS!$D:$D,"Aporte",MOVIMIENTOS!$E:$E,"Anual",MOVIMIENTOS!$J:$J,$C6,MOVIMIENTOS!$B:$B,"&gt;="&amp;DATE(2026,7,1),MOVIMIENTOS!$B:$B,"&lt;"&amp;DATE(2026,8,1))</f>
        <v>0</v>
      </c>
      <c r="J6" s="5" t="n">
        <f aca="false">SUMIFS(MOVIMIENTOS!$I:$I,MOVIMIENTOS!$D:$D,"Aporte",MOVIMIENTOS!$E:$E,"Anual",MOVIMIENTOS!$J:$J,$C6,MOVIMIENTOS!$B:$B,"&gt;="&amp;DATE(2026,8,1),MOVIMIENTOS!$B:$B,"&lt;"&amp;DATE(2026,9,1))</f>
        <v>0</v>
      </c>
      <c r="K6" s="5" t="n">
        <f aca="false">SUMIFS(MOVIMIENTOS!$I:$I,MOVIMIENTOS!$D:$D,"Aporte",MOVIMIENTOS!$E:$E,"Anual",MOVIMIENTOS!$J:$J,$C6,MOVIMIENTOS!$B:$B,"&gt;="&amp;DATE(2026,9,1),MOVIMIENTOS!$B:$B,"&lt;"&amp;DATE(2026,10,1))</f>
        <v>0</v>
      </c>
      <c r="L6" s="5" t="n">
        <f aca="false">SUMIFS(MOVIMIENTOS!$I:$I,MOVIMIENTOS!$D:$D,"Aporte",MOVIMIENTOS!$E:$E,"Anual",MOVIMIENTOS!$J:$J,$C6,MOVIMIENTOS!$B:$B,"&gt;="&amp;DATE(2026,10,1),MOVIMIENTOS!$B:$B,"&lt;"&amp;DATE(2026,11,1))</f>
        <v>0</v>
      </c>
      <c r="M6" s="5" t="n">
        <f aca="false">SUMIFS(MOVIMIENTOS!$I:$I,MOVIMIENTOS!$D:$D,"Aporte",MOVIMIENTOS!$E:$E,"Anual",MOVIMIENTOS!$J:$J,$C6,MOVIMIENTOS!$B:$B,"&gt;="&amp;DATE(2026,11,1),MOVIMIENTOS!$B:$B,"&lt;"&amp;DATE(2026,12,1))</f>
        <v>0</v>
      </c>
      <c r="N6" s="5" t="n">
        <f aca="false">SUMIFS(MOVIMIENTOS!$I:$I,MOVIMIENTOS!$D:$D,"Aporte",MOVIMIENTOS!$E:$E,"Anual",MOVIMIENTOS!$J:$J,$C6,MOVIMIENTOS!$B:$B,"&gt;="&amp;DATE(2026,12,1),MOVIMIENTOS!$B:$B,"&lt;"&amp;DATE(2026,13,1))</f>
        <v>0</v>
      </c>
      <c r="O6" s="5" t="n">
        <f aca="false">SUM(E6:N6)</f>
        <v>3000</v>
      </c>
      <c r="P6" s="5" t="n">
        <f aca="false">SUMIFS(MOVIMIENTOS!$I:$I,MOVIMIENTOS!$D:$D,"Aporte",MOVIMIENTOS!$E:$E,"Extraordinaria",MOVIMIENTOS!$F:$F,P$4,MOVIMIENTOS!$J:$J,$C6)</f>
        <v>1000</v>
      </c>
      <c r="Q6" s="5" t="n">
        <f aca="false">SUMIFS(MOVIMIENTOS!$I:$I,MOVIMIENTOS!$D:$D,"Aporte",MOVIMIENTOS!$E:$E,"Extraordinaria",MOVIMIENTOS!$F:$F,Q$4,MOVIMIENTOS!$J:$J,$C6)</f>
        <v>0</v>
      </c>
      <c r="R6" s="5" t="n">
        <f aca="false">SUMIFS(MOVIMIENTOS!$I:$I,MOVIMIENTOS!$D:$D,"Aporte",MOVIMIENTOS!$E:$E,"Extraordinaria",MOVIMIENTOS!$F:$F,R$4,MOVIMIENTOS!$J:$J,$C6)</f>
        <v>2000</v>
      </c>
      <c r="S6" s="5" t="n">
        <f aca="false">SUMIFS(MOVIMIENTOS!$I:$I,MOVIMIENTOS!$D:$D,"Aporte",MOVIMIENTOS!$E:$E,"Extraordinaria",MOVIMIENTOS!$F:$F,S$4,MOVIMIENTOS!$J:$J,$C6)</f>
        <v>0</v>
      </c>
      <c r="T6" s="5" t="n">
        <f aca="false">SUMIFS(MOVIMIENTOS!$I:$I,MOVIMIENTOS!$D:$D,"Aporte",MOVIMIENTOS!$E:$E,"Extraordinaria",MOVIMIENTOS!$F:$F,T$4,MOVIMIENTOS!$J:$J,$C6)</f>
        <v>0</v>
      </c>
      <c r="U6" s="5" t="n">
        <f aca="false">SUMIFS(MOVIMIENTOS!$I:$I,MOVIMIENTOS!$D:$D,"Aporte",MOVIMIENTOS!$E:$E,"Extraordinaria",MOVIMIENTOS!$F:$F,U$4,MOVIMIENTOS!$J:$J,$C6)</f>
        <v>0</v>
      </c>
      <c r="V6" s="5" t="n">
        <f aca="false">SUMIFS(MOVIMIENTOS!$I:$I,MOVIMIENTOS!$D:$D,"Aporte",MOVIMIENTOS!$E:$E,"Extraordinaria",MOVIMIENTOS!$F:$F,V$4,MOVIMIENTOS!$J:$J,$C6)</f>
        <v>0</v>
      </c>
      <c r="W6" s="5" t="n">
        <f aca="false">SUM(P6:V6)</f>
        <v>3000</v>
      </c>
      <c r="X6" s="5" t="n">
        <f aca="false">O6+W6</f>
        <v>6000</v>
      </c>
      <c r="Y6" s="9"/>
    </row>
    <row r="7" customFormat="false" ht="15" hidden="false" customHeight="false" outlineLevel="0" collapsed="false">
      <c r="A7" s="9" t="n">
        <v>3</v>
      </c>
      <c r="B7" s="9" t="s">
        <v>92</v>
      </c>
      <c r="C7" s="9" t="s">
        <v>93</v>
      </c>
      <c r="D7" s="9" t="s">
        <v>94</v>
      </c>
      <c r="E7" s="5" t="n">
        <f aca="false">SUMIFS(MOVIMIENTOS!$I:$I,MOVIMIENTOS!$D:$D,"Aporte",MOVIMIENTOS!$E:$E,"Anual",MOVIMIENTOS!$J:$J,$C7,MOVIMIENTOS!$B:$B,"&gt;="&amp;DATE(2026,3,1),MOVIMIENTOS!$B:$B,"&lt;"&amp;DATE(2026,4,1))</f>
        <v>0</v>
      </c>
      <c r="F7" s="5" t="n">
        <f aca="false">SUMIFS(MOVIMIENTOS!$I:$I,MOVIMIENTOS!$D:$D,"Aporte",MOVIMIENTOS!$E:$E,"Anual",MOVIMIENTOS!$J:$J,$C7,MOVIMIENTOS!$B:$B,"&gt;="&amp;DATE(2026,4,1),MOVIMIENTOS!$B:$B,"&lt;"&amp;DATE(2026,5,1))</f>
        <v>0</v>
      </c>
      <c r="G7" s="5" t="n">
        <f aca="false">SUMIFS(MOVIMIENTOS!$I:$I,MOVIMIENTOS!$D:$D,"Aporte",MOVIMIENTOS!$E:$E,"Anual",MOVIMIENTOS!$J:$J,$C7,MOVIMIENTOS!$B:$B,"&gt;="&amp;DATE(2026,5,1),MOVIMIENTOS!$B:$B,"&lt;"&amp;DATE(2026,6,1))</f>
        <v>0</v>
      </c>
      <c r="H7" s="5" t="n">
        <f aca="false">SUMIFS(MOVIMIENTOS!$I:$I,MOVIMIENTOS!$D:$D,"Aporte",MOVIMIENTOS!$E:$E,"Anual",MOVIMIENTOS!$J:$J,$C7,MOVIMIENTOS!$B:$B,"&gt;="&amp;DATE(2026,6,1),MOVIMIENTOS!$B:$B,"&lt;"&amp;DATE(2026,7,1))</f>
        <v>0</v>
      </c>
      <c r="I7" s="5" t="n">
        <f aca="false">SUMIFS(MOVIMIENTOS!$I:$I,MOVIMIENTOS!$D:$D,"Aporte",MOVIMIENTOS!$E:$E,"Anual",MOVIMIENTOS!$J:$J,$C7,MOVIMIENTOS!$B:$B,"&gt;="&amp;DATE(2026,7,1),MOVIMIENTOS!$B:$B,"&lt;"&amp;DATE(2026,8,1))</f>
        <v>0</v>
      </c>
      <c r="J7" s="5" t="n">
        <f aca="false">SUMIFS(MOVIMIENTOS!$I:$I,MOVIMIENTOS!$D:$D,"Aporte",MOVIMIENTOS!$E:$E,"Anual",MOVIMIENTOS!$J:$J,$C7,MOVIMIENTOS!$B:$B,"&gt;="&amp;DATE(2026,8,1),MOVIMIENTOS!$B:$B,"&lt;"&amp;DATE(2026,9,1))</f>
        <v>0</v>
      </c>
      <c r="K7" s="5" t="n">
        <f aca="false">SUMIFS(MOVIMIENTOS!$I:$I,MOVIMIENTOS!$D:$D,"Aporte",MOVIMIENTOS!$E:$E,"Anual",MOVIMIENTOS!$J:$J,$C7,MOVIMIENTOS!$B:$B,"&gt;="&amp;DATE(2026,9,1),MOVIMIENTOS!$B:$B,"&lt;"&amp;DATE(2026,10,1))</f>
        <v>0</v>
      </c>
      <c r="L7" s="5" t="n">
        <f aca="false">SUMIFS(MOVIMIENTOS!$I:$I,MOVIMIENTOS!$D:$D,"Aporte",MOVIMIENTOS!$E:$E,"Anual",MOVIMIENTOS!$J:$J,$C7,MOVIMIENTOS!$B:$B,"&gt;="&amp;DATE(2026,10,1),MOVIMIENTOS!$B:$B,"&lt;"&amp;DATE(2026,11,1))</f>
        <v>0</v>
      </c>
      <c r="M7" s="5" t="n">
        <f aca="false">SUMIFS(MOVIMIENTOS!$I:$I,MOVIMIENTOS!$D:$D,"Aporte",MOVIMIENTOS!$E:$E,"Anual",MOVIMIENTOS!$J:$J,$C7,MOVIMIENTOS!$B:$B,"&gt;="&amp;DATE(2026,11,1),MOVIMIENTOS!$B:$B,"&lt;"&amp;DATE(2026,12,1))</f>
        <v>0</v>
      </c>
      <c r="N7" s="5" t="n">
        <f aca="false">SUMIFS(MOVIMIENTOS!$I:$I,MOVIMIENTOS!$D:$D,"Aporte",MOVIMIENTOS!$E:$E,"Anual",MOVIMIENTOS!$J:$J,$C7,MOVIMIENTOS!$B:$B,"&gt;="&amp;DATE(2026,12,1),MOVIMIENTOS!$B:$B,"&lt;"&amp;DATE(2026,13,1))</f>
        <v>0</v>
      </c>
      <c r="O7" s="5" t="n">
        <f aca="false">SUM(E7:N7)</f>
        <v>0</v>
      </c>
      <c r="P7" s="5" t="n">
        <f aca="false">SUMIFS(MOVIMIENTOS!$I:$I,MOVIMIENTOS!$D:$D,"Aporte",MOVIMIENTOS!$E:$E,"Extraordinaria",MOVIMIENTOS!$F:$F,P$4,MOVIMIENTOS!$J:$J,$C7)</f>
        <v>1000</v>
      </c>
      <c r="Q7" s="5" t="n">
        <f aca="false">SUMIFS(MOVIMIENTOS!$I:$I,MOVIMIENTOS!$D:$D,"Aporte",MOVIMIENTOS!$E:$E,"Extraordinaria",MOVIMIENTOS!$F:$F,Q$4,MOVIMIENTOS!$J:$J,$C7)</f>
        <v>2000</v>
      </c>
      <c r="R7" s="5" t="n">
        <f aca="false">SUMIFS(MOVIMIENTOS!$I:$I,MOVIMIENTOS!$D:$D,"Aporte",MOVIMIENTOS!$E:$E,"Extraordinaria",MOVIMIENTOS!$F:$F,R$4,MOVIMIENTOS!$J:$J,$C7)</f>
        <v>2000</v>
      </c>
      <c r="S7" s="5" t="n">
        <f aca="false">SUMIFS(MOVIMIENTOS!$I:$I,MOVIMIENTOS!$D:$D,"Aporte",MOVIMIENTOS!$E:$E,"Extraordinaria",MOVIMIENTOS!$F:$F,S$4,MOVIMIENTOS!$J:$J,$C7)</f>
        <v>0</v>
      </c>
      <c r="T7" s="5" t="n">
        <f aca="false">SUMIFS(MOVIMIENTOS!$I:$I,MOVIMIENTOS!$D:$D,"Aporte",MOVIMIENTOS!$E:$E,"Extraordinaria",MOVIMIENTOS!$F:$F,T$4,MOVIMIENTOS!$J:$J,$C7)</f>
        <v>0</v>
      </c>
      <c r="U7" s="5" t="n">
        <f aca="false">SUMIFS(MOVIMIENTOS!$I:$I,MOVIMIENTOS!$D:$D,"Aporte",MOVIMIENTOS!$E:$E,"Extraordinaria",MOVIMIENTOS!$F:$F,U$4,MOVIMIENTOS!$J:$J,$C7)</f>
        <v>1000</v>
      </c>
      <c r="V7" s="5" t="n">
        <f aca="false">SUMIFS(MOVIMIENTOS!$I:$I,MOVIMIENTOS!$D:$D,"Aporte",MOVIMIENTOS!$E:$E,"Extraordinaria",MOVIMIENTOS!$F:$F,V$4,MOVIMIENTOS!$J:$J,$C7)</f>
        <v>0</v>
      </c>
      <c r="W7" s="5" t="n">
        <f aca="false">SUM(P7:V7)</f>
        <v>6000</v>
      </c>
      <c r="X7" s="5" t="n">
        <f aca="false">O7+W7</f>
        <v>6000</v>
      </c>
      <c r="Y7" s="9"/>
    </row>
    <row r="8" customFormat="false" ht="15" hidden="false" customHeight="false" outlineLevel="0" collapsed="false">
      <c r="A8" s="9" t="n">
        <v>4</v>
      </c>
      <c r="B8" s="9" t="s">
        <v>95</v>
      </c>
      <c r="C8" s="9" t="s">
        <v>96</v>
      </c>
      <c r="D8" s="9" t="s">
        <v>97</v>
      </c>
      <c r="E8" s="5" t="n">
        <f aca="false">SUMIFS(MOVIMIENTOS!$I:$I,MOVIMIENTOS!$D:$D,"Aporte",MOVIMIENTOS!$E:$E,"Anual",MOVIMIENTOS!$J:$J,$C8,MOVIMIENTOS!$B:$B,"&gt;="&amp;DATE(2026,3,1),MOVIMIENTOS!$B:$B,"&lt;"&amp;DATE(2026,4,1))</f>
        <v>3000</v>
      </c>
      <c r="F8" s="5" t="n">
        <f aca="false">SUMIFS(MOVIMIENTOS!$I:$I,MOVIMIENTOS!$D:$D,"Aporte",MOVIMIENTOS!$E:$E,"Anual",MOVIMIENTOS!$J:$J,$C8,MOVIMIENTOS!$B:$B,"&gt;="&amp;DATE(2026,4,1),MOVIMIENTOS!$B:$B,"&lt;"&amp;DATE(2026,5,1))</f>
        <v>3000</v>
      </c>
      <c r="G8" s="5" t="n">
        <f aca="false">SUMIFS(MOVIMIENTOS!$I:$I,MOVIMIENTOS!$D:$D,"Aporte",MOVIMIENTOS!$E:$E,"Anual",MOVIMIENTOS!$J:$J,$C8,MOVIMIENTOS!$B:$B,"&gt;="&amp;DATE(2026,5,1),MOVIMIENTOS!$B:$B,"&lt;"&amp;DATE(2026,6,1))</f>
        <v>3000</v>
      </c>
      <c r="H8" s="5" t="n">
        <f aca="false">SUMIFS(MOVIMIENTOS!$I:$I,MOVIMIENTOS!$D:$D,"Aporte",MOVIMIENTOS!$E:$E,"Anual",MOVIMIENTOS!$J:$J,$C8,MOVIMIENTOS!$B:$B,"&gt;="&amp;DATE(2026,6,1),MOVIMIENTOS!$B:$B,"&lt;"&amp;DATE(2026,7,1))</f>
        <v>0</v>
      </c>
      <c r="I8" s="5" t="n">
        <f aca="false">SUMIFS(MOVIMIENTOS!$I:$I,MOVIMIENTOS!$D:$D,"Aporte",MOVIMIENTOS!$E:$E,"Anual",MOVIMIENTOS!$J:$J,$C8,MOVIMIENTOS!$B:$B,"&gt;="&amp;DATE(2026,7,1),MOVIMIENTOS!$B:$B,"&lt;"&amp;DATE(2026,8,1))</f>
        <v>0</v>
      </c>
      <c r="J8" s="5" t="n">
        <f aca="false">SUMIFS(MOVIMIENTOS!$I:$I,MOVIMIENTOS!$D:$D,"Aporte",MOVIMIENTOS!$E:$E,"Anual",MOVIMIENTOS!$J:$J,$C8,MOVIMIENTOS!$B:$B,"&gt;="&amp;DATE(2026,8,1),MOVIMIENTOS!$B:$B,"&lt;"&amp;DATE(2026,9,1))</f>
        <v>0</v>
      </c>
      <c r="K8" s="5" t="n">
        <f aca="false">SUMIFS(MOVIMIENTOS!$I:$I,MOVIMIENTOS!$D:$D,"Aporte",MOVIMIENTOS!$E:$E,"Anual",MOVIMIENTOS!$J:$J,$C8,MOVIMIENTOS!$B:$B,"&gt;="&amp;DATE(2026,9,1),MOVIMIENTOS!$B:$B,"&lt;"&amp;DATE(2026,10,1))</f>
        <v>0</v>
      </c>
      <c r="L8" s="5" t="n">
        <f aca="false">SUMIFS(MOVIMIENTOS!$I:$I,MOVIMIENTOS!$D:$D,"Aporte",MOVIMIENTOS!$E:$E,"Anual",MOVIMIENTOS!$J:$J,$C8,MOVIMIENTOS!$B:$B,"&gt;="&amp;DATE(2026,10,1),MOVIMIENTOS!$B:$B,"&lt;"&amp;DATE(2026,11,1))</f>
        <v>0</v>
      </c>
      <c r="M8" s="5" t="n">
        <f aca="false">SUMIFS(MOVIMIENTOS!$I:$I,MOVIMIENTOS!$D:$D,"Aporte",MOVIMIENTOS!$E:$E,"Anual",MOVIMIENTOS!$J:$J,$C8,MOVIMIENTOS!$B:$B,"&gt;="&amp;DATE(2026,11,1),MOVIMIENTOS!$B:$B,"&lt;"&amp;DATE(2026,12,1))</f>
        <v>0</v>
      </c>
      <c r="N8" s="5" t="n">
        <f aca="false">SUMIFS(MOVIMIENTOS!$I:$I,MOVIMIENTOS!$D:$D,"Aporte",MOVIMIENTOS!$E:$E,"Anual",MOVIMIENTOS!$J:$J,$C8,MOVIMIENTOS!$B:$B,"&gt;="&amp;DATE(2026,12,1),MOVIMIENTOS!$B:$B,"&lt;"&amp;DATE(2026,13,1))</f>
        <v>0</v>
      </c>
      <c r="O8" s="5" t="n">
        <f aca="false">SUM(E8:N8)</f>
        <v>9000</v>
      </c>
      <c r="P8" s="5" t="n">
        <f aca="false">SUMIFS(MOVIMIENTOS!$I:$I,MOVIMIENTOS!$D:$D,"Aporte",MOVIMIENTOS!$E:$E,"Extraordinaria",MOVIMIENTOS!$F:$F,P$4,MOVIMIENTOS!$J:$J,$C8)</f>
        <v>1000</v>
      </c>
      <c r="Q8" s="5" t="n">
        <f aca="false">SUMIFS(MOVIMIENTOS!$I:$I,MOVIMIENTOS!$D:$D,"Aporte",MOVIMIENTOS!$E:$E,"Extraordinaria",MOVIMIENTOS!$F:$F,Q$4,MOVIMIENTOS!$J:$J,$C8)</f>
        <v>2000</v>
      </c>
      <c r="R8" s="5" t="n">
        <f aca="false">SUMIFS(MOVIMIENTOS!$I:$I,MOVIMIENTOS!$D:$D,"Aporte",MOVIMIENTOS!$E:$E,"Extraordinaria",MOVIMIENTOS!$F:$F,R$4,MOVIMIENTOS!$J:$J,$C8)</f>
        <v>2000</v>
      </c>
      <c r="S8" s="5" t="n">
        <f aca="false">SUMIFS(MOVIMIENTOS!$I:$I,MOVIMIENTOS!$D:$D,"Aporte",MOVIMIENTOS!$E:$E,"Extraordinaria",MOVIMIENTOS!$F:$F,S$4,MOVIMIENTOS!$J:$J,$C8)</f>
        <v>0</v>
      </c>
      <c r="T8" s="5" t="n">
        <f aca="false">SUMIFS(MOVIMIENTOS!$I:$I,MOVIMIENTOS!$D:$D,"Aporte",MOVIMIENTOS!$E:$E,"Extraordinaria",MOVIMIENTOS!$F:$F,T$4,MOVIMIENTOS!$J:$J,$C8)</f>
        <v>0</v>
      </c>
      <c r="U8" s="5" t="n">
        <f aca="false">SUMIFS(MOVIMIENTOS!$I:$I,MOVIMIENTOS!$D:$D,"Aporte",MOVIMIENTOS!$E:$E,"Extraordinaria",MOVIMIENTOS!$F:$F,U$4,MOVIMIENTOS!$J:$J,$C8)</f>
        <v>0</v>
      </c>
      <c r="V8" s="5" t="n">
        <f aca="false">SUMIFS(MOVIMIENTOS!$I:$I,MOVIMIENTOS!$D:$D,"Aporte",MOVIMIENTOS!$E:$E,"Extraordinaria",MOVIMIENTOS!$F:$F,V$4,MOVIMIENTOS!$J:$J,$C8)</f>
        <v>0</v>
      </c>
      <c r="W8" s="5" t="n">
        <f aca="false">SUM(P8:V8)</f>
        <v>5000</v>
      </c>
      <c r="X8" s="5" t="n">
        <f aca="false">O8+W8</f>
        <v>14000</v>
      </c>
      <c r="Y8" s="9"/>
    </row>
    <row r="9" customFormat="false" ht="15" hidden="false" customHeight="false" outlineLevel="0" collapsed="false">
      <c r="A9" s="9"/>
      <c r="B9" s="9"/>
      <c r="C9" s="9" t="s">
        <v>98</v>
      </c>
      <c r="D9" s="9"/>
      <c r="E9" s="16" t="n">
        <f aca="false">SUMIFS(MOVIMIENTOS!$I:$I,MOVIMIENTOS!$D:$D,"Aporte",MOVIMIENTOS!$E:$E,"Anual",MOVIMIENTOS!$J:$J,$C9,MOVIMIENTOS!$B:$B,"&gt;="&amp;DATE(2026,3,1),MOVIMIENTOS!$B:$B,"&lt;"&amp;DATE(2026,4,1))</f>
        <v>3000</v>
      </c>
      <c r="F9" s="5" t="n">
        <f aca="false">SUMIFS(MOVIMIENTOS!$I:$I,MOVIMIENTOS!$D:$D,"Aporte",MOVIMIENTOS!$E:$E,"Anual",MOVIMIENTOS!$J:$J,$C9,MOVIMIENTOS!$B:$B,"&gt;="&amp;DATE(2026,4,1),MOVIMIENTOS!$B:$B,"&lt;"&amp;DATE(2026,5,1))</f>
        <v>0</v>
      </c>
      <c r="G9" s="5" t="n">
        <f aca="false">SUMIFS(MOVIMIENTOS!$I:$I,MOVIMIENTOS!$D:$D,"Aporte",MOVIMIENTOS!$E:$E,"Anual",MOVIMIENTOS!$J:$J,$C9,MOVIMIENTOS!$B:$B,"&gt;="&amp;DATE(2026,5,1),MOVIMIENTOS!$B:$B,"&lt;"&amp;DATE(2026,6,1))</f>
        <v>0</v>
      </c>
      <c r="H9" s="5" t="n">
        <f aca="false">SUMIFS(MOVIMIENTOS!$I:$I,MOVIMIENTOS!$D:$D,"Aporte",MOVIMIENTOS!$E:$E,"Anual",MOVIMIENTOS!$J:$J,$C9,MOVIMIENTOS!$B:$B,"&gt;="&amp;DATE(2026,6,1),MOVIMIENTOS!$B:$B,"&lt;"&amp;DATE(2026,7,1))</f>
        <v>0</v>
      </c>
      <c r="I9" s="5" t="n">
        <f aca="false">SUMIFS(MOVIMIENTOS!$I:$I,MOVIMIENTOS!$D:$D,"Aporte",MOVIMIENTOS!$E:$E,"Anual",MOVIMIENTOS!$J:$J,$C9,MOVIMIENTOS!$B:$B,"&gt;="&amp;DATE(2026,7,1),MOVIMIENTOS!$B:$B,"&lt;"&amp;DATE(2026,8,1))</f>
        <v>0</v>
      </c>
      <c r="J9" s="5" t="n">
        <f aca="false">SUMIFS(MOVIMIENTOS!$I:$I,MOVIMIENTOS!$D:$D,"Aporte",MOVIMIENTOS!$E:$E,"Anual",MOVIMIENTOS!$J:$J,$C9,MOVIMIENTOS!$B:$B,"&gt;="&amp;DATE(2026,8,1),MOVIMIENTOS!$B:$B,"&lt;"&amp;DATE(2026,9,1))</f>
        <v>0</v>
      </c>
      <c r="K9" s="5" t="n">
        <f aca="false">SUMIFS(MOVIMIENTOS!$I:$I,MOVIMIENTOS!$D:$D,"Aporte",MOVIMIENTOS!$E:$E,"Anual",MOVIMIENTOS!$J:$J,$C9,MOVIMIENTOS!$B:$B,"&gt;="&amp;DATE(2026,9,1),MOVIMIENTOS!$B:$B,"&lt;"&amp;DATE(2026,10,1))</f>
        <v>0</v>
      </c>
      <c r="L9" s="5" t="n">
        <f aca="false">SUMIFS(MOVIMIENTOS!$I:$I,MOVIMIENTOS!$D:$D,"Aporte",MOVIMIENTOS!$E:$E,"Anual",MOVIMIENTOS!$J:$J,$C9,MOVIMIENTOS!$B:$B,"&gt;="&amp;DATE(2026,10,1),MOVIMIENTOS!$B:$B,"&lt;"&amp;DATE(2026,11,1))</f>
        <v>0</v>
      </c>
      <c r="M9" s="5" t="n">
        <f aca="false">SUMIFS(MOVIMIENTOS!$I:$I,MOVIMIENTOS!$D:$D,"Aporte",MOVIMIENTOS!$E:$E,"Anual",MOVIMIENTOS!$J:$J,$C9,MOVIMIENTOS!$B:$B,"&gt;="&amp;DATE(2026,11,1),MOVIMIENTOS!$B:$B,"&lt;"&amp;DATE(2026,12,1))</f>
        <v>0</v>
      </c>
      <c r="N9" s="5" t="n">
        <f aca="false">SUMIFS(MOVIMIENTOS!$I:$I,MOVIMIENTOS!$D:$D,"Aporte",MOVIMIENTOS!$E:$E,"Anual",MOVIMIENTOS!$J:$J,$C9,MOVIMIENTOS!$B:$B,"&gt;="&amp;DATE(2026,12,1),MOVIMIENTOS!$B:$B,"&lt;"&amp;DATE(2026,13,1))</f>
        <v>0</v>
      </c>
      <c r="O9" s="5" t="n">
        <f aca="false">SUM(E9:N9)</f>
        <v>3000</v>
      </c>
      <c r="P9" s="5" t="n">
        <f aca="false">SUMIFS(MOVIMIENTOS!$I:$I,MOVIMIENTOS!$D:$D,"Aporte",MOVIMIENTOS!$E:$E,"Extraordinaria",MOVIMIENTOS!$F:$F,P$4,MOVIMIENTOS!$J:$J,$C9)</f>
        <v>0</v>
      </c>
      <c r="Q9" s="5" t="n">
        <f aca="false">SUMIFS(MOVIMIENTOS!$I:$I,MOVIMIENTOS!$D:$D,"Aporte",MOVIMIENTOS!$E:$E,"Extraordinaria",MOVIMIENTOS!$F:$F,Q$4,MOVIMIENTOS!$J:$J,$C9)</f>
        <v>0</v>
      </c>
      <c r="R9" s="5" t="n">
        <f aca="false">SUMIFS(MOVIMIENTOS!$I:$I,MOVIMIENTOS!$D:$D,"Aporte",MOVIMIENTOS!$E:$E,"Extraordinaria",MOVIMIENTOS!$F:$F,R$4,MOVIMIENTOS!$J:$J,$C9)</f>
        <v>0</v>
      </c>
      <c r="S9" s="5" t="n">
        <f aca="false">SUMIFS(MOVIMIENTOS!$I:$I,MOVIMIENTOS!$D:$D,"Aporte",MOVIMIENTOS!$E:$E,"Extraordinaria",MOVIMIENTOS!$F:$F,S$4,MOVIMIENTOS!$J:$J,$C9)</f>
        <v>0</v>
      </c>
      <c r="T9" s="5" t="n">
        <f aca="false">SUMIFS(MOVIMIENTOS!$I:$I,MOVIMIENTOS!$D:$D,"Aporte",MOVIMIENTOS!$E:$E,"Extraordinaria",MOVIMIENTOS!$F:$F,T$4,MOVIMIENTOS!$J:$J,$C9)</f>
        <v>0</v>
      </c>
      <c r="U9" s="5" t="n">
        <f aca="false">SUMIFS(MOVIMIENTOS!$I:$I,MOVIMIENTOS!$D:$D,"Aporte",MOVIMIENTOS!$E:$E,"Extraordinaria",MOVIMIENTOS!$F:$F,U$4,MOVIMIENTOS!$J:$J,$C9)</f>
        <v>0</v>
      </c>
      <c r="V9" s="5" t="n">
        <f aca="false">SUMIFS(MOVIMIENTOS!$I:$I,MOVIMIENTOS!$D:$D,"Aporte",MOVIMIENTOS!$E:$E,"Extraordinaria",MOVIMIENTOS!$F:$F,V$4,MOVIMIENTOS!$J:$J,$C9)</f>
        <v>0</v>
      </c>
      <c r="W9" s="5" t="n">
        <f aca="false">SUM(P9:V9)</f>
        <v>0</v>
      </c>
      <c r="X9" s="5" t="n">
        <f aca="false">O9+W9</f>
        <v>3000</v>
      </c>
      <c r="Y9" s="9"/>
    </row>
    <row r="10" customFormat="false" ht="15" hidden="false" customHeight="false" outlineLevel="0" collapsed="false">
      <c r="A10" s="9" t="n">
        <v>6</v>
      </c>
      <c r="B10" s="9" t="s">
        <v>99</v>
      </c>
      <c r="C10" s="9" t="s">
        <v>100</v>
      </c>
      <c r="D10" s="9"/>
      <c r="E10" s="5" t="n">
        <f aca="false">SUMIFS(MOVIMIENTOS!$I:$I,MOVIMIENTOS!$D:$D,"Aporte",MOVIMIENTOS!$E:$E,"Anual",MOVIMIENTOS!$J:$J,$C10,MOVIMIENTOS!$B:$B,"&gt;="&amp;DATE(2026,3,1),MOVIMIENTOS!$B:$B,"&lt;"&amp;DATE(2026,4,1))</f>
        <v>0</v>
      </c>
      <c r="F10" s="5" t="n">
        <f aca="false">SUMIFS(MOVIMIENTOS!$I:$I,MOVIMIENTOS!$D:$D,"Aporte",MOVIMIENTOS!$E:$E,"Anual",MOVIMIENTOS!$J:$J,$C10,MOVIMIENTOS!$B:$B,"&gt;="&amp;DATE(2026,4,1),MOVIMIENTOS!$B:$B,"&lt;"&amp;DATE(2026,5,1))</f>
        <v>0</v>
      </c>
      <c r="G10" s="5" t="n">
        <f aca="false">SUMIFS(MOVIMIENTOS!$I:$I,MOVIMIENTOS!$D:$D,"Aporte",MOVIMIENTOS!$E:$E,"Anual",MOVIMIENTOS!$J:$J,$C10,MOVIMIENTOS!$B:$B,"&gt;="&amp;DATE(2026,5,1),MOVIMIENTOS!$B:$B,"&lt;"&amp;DATE(2026,6,1))</f>
        <v>0</v>
      </c>
      <c r="H10" s="5" t="n">
        <f aca="false">SUMIFS(MOVIMIENTOS!$I:$I,MOVIMIENTOS!$D:$D,"Aporte",MOVIMIENTOS!$E:$E,"Anual",MOVIMIENTOS!$J:$J,$C10,MOVIMIENTOS!$B:$B,"&gt;="&amp;DATE(2026,6,1),MOVIMIENTOS!$B:$B,"&lt;"&amp;DATE(2026,7,1))</f>
        <v>0</v>
      </c>
      <c r="I10" s="5" t="n">
        <f aca="false">SUMIFS(MOVIMIENTOS!$I:$I,MOVIMIENTOS!$D:$D,"Aporte",MOVIMIENTOS!$E:$E,"Anual",MOVIMIENTOS!$J:$J,$C10,MOVIMIENTOS!$B:$B,"&gt;="&amp;DATE(2026,7,1),MOVIMIENTOS!$B:$B,"&lt;"&amp;DATE(2026,8,1))</f>
        <v>0</v>
      </c>
      <c r="J10" s="5" t="n">
        <f aca="false">SUMIFS(MOVIMIENTOS!$I:$I,MOVIMIENTOS!$D:$D,"Aporte",MOVIMIENTOS!$E:$E,"Anual",MOVIMIENTOS!$J:$J,$C10,MOVIMIENTOS!$B:$B,"&gt;="&amp;DATE(2026,8,1),MOVIMIENTOS!$B:$B,"&lt;"&amp;DATE(2026,9,1))</f>
        <v>0</v>
      </c>
      <c r="K10" s="5" t="n">
        <f aca="false">SUMIFS(MOVIMIENTOS!$I:$I,MOVIMIENTOS!$D:$D,"Aporte",MOVIMIENTOS!$E:$E,"Anual",MOVIMIENTOS!$J:$J,$C10,MOVIMIENTOS!$B:$B,"&gt;="&amp;DATE(2026,9,1),MOVIMIENTOS!$B:$B,"&lt;"&amp;DATE(2026,10,1))</f>
        <v>0</v>
      </c>
      <c r="L10" s="5" t="n">
        <f aca="false">SUMIFS(MOVIMIENTOS!$I:$I,MOVIMIENTOS!$D:$D,"Aporte",MOVIMIENTOS!$E:$E,"Anual",MOVIMIENTOS!$J:$J,$C10,MOVIMIENTOS!$B:$B,"&gt;="&amp;DATE(2026,10,1),MOVIMIENTOS!$B:$B,"&lt;"&amp;DATE(2026,11,1))</f>
        <v>0</v>
      </c>
      <c r="M10" s="5" t="n">
        <f aca="false">SUMIFS(MOVIMIENTOS!$I:$I,MOVIMIENTOS!$D:$D,"Aporte",MOVIMIENTOS!$E:$E,"Anual",MOVIMIENTOS!$J:$J,$C10,MOVIMIENTOS!$B:$B,"&gt;="&amp;DATE(2026,11,1),MOVIMIENTOS!$B:$B,"&lt;"&amp;DATE(2026,12,1))</f>
        <v>0</v>
      </c>
      <c r="N10" s="5" t="n">
        <f aca="false">SUMIFS(MOVIMIENTOS!$I:$I,MOVIMIENTOS!$D:$D,"Aporte",MOVIMIENTOS!$E:$E,"Anual",MOVIMIENTOS!$J:$J,$C10,MOVIMIENTOS!$B:$B,"&gt;="&amp;DATE(2026,12,1),MOVIMIENTOS!$B:$B,"&lt;"&amp;DATE(2026,13,1))</f>
        <v>0</v>
      </c>
      <c r="O10" s="5" t="n">
        <f aca="false">SUM(E10:N10)</f>
        <v>0</v>
      </c>
      <c r="P10" s="5" t="n">
        <f aca="false">SUMIFS(MOVIMIENTOS!$I:$I,MOVIMIENTOS!$D:$D,"Aporte",MOVIMIENTOS!$E:$E,"Extraordinaria",MOVIMIENTOS!$F:$F,P$4,MOVIMIENTOS!$J:$J,$C10)</f>
        <v>0</v>
      </c>
      <c r="Q10" s="5" t="n">
        <f aca="false">SUMIFS(MOVIMIENTOS!$I:$I,MOVIMIENTOS!$D:$D,"Aporte",MOVIMIENTOS!$E:$E,"Extraordinaria",MOVIMIENTOS!$F:$F,Q$4,MOVIMIENTOS!$J:$J,$C10)</f>
        <v>0</v>
      </c>
      <c r="R10" s="5" t="n">
        <f aca="false">SUMIFS(MOVIMIENTOS!$I:$I,MOVIMIENTOS!$D:$D,"Aporte",MOVIMIENTOS!$E:$E,"Extraordinaria",MOVIMIENTOS!$F:$F,R$4,MOVIMIENTOS!$J:$J,$C10)</f>
        <v>0</v>
      </c>
      <c r="S10" s="5" t="n">
        <f aca="false">SUMIFS(MOVIMIENTOS!$I:$I,MOVIMIENTOS!$D:$D,"Aporte",MOVIMIENTOS!$E:$E,"Extraordinaria",MOVIMIENTOS!$F:$F,S$4,MOVIMIENTOS!$J:$J,$C10)</f>
        <v>0</v>
      </c>
      <c r="T10" s="5" t="n">
        <f aca="false">SUMIFS(MOVIMIENTOS!$I:$I,MOVIMIENTOS!$D:$D,"Aporte",MOVIMIENTOS!$E:$E,"Extraordinaria",MOVIMIENTOS!$F:$F,T$4,MOVIMIENTOS!$J:$J,$C10)</f>
        <v>0</v>
      </c>
      <c r="U10" s="5" t="n">
        <f aca="false">SUMIFS(MOVIMIENTOS!$I:$I,MOVIMIENTOS!$D:$D,"Aporte",MOVIMIENTOS!$E:$E,"Extraordinaria",MOVIMIENTOS!$F:$F,U$4,MOVIMIENTOS!$J:$J,$C10)</f>
        <v>0</v>
      </c>
      <c r="V10" s="5" t="n">
        <f aca="false">SUMIFS(MOVIMIENTOS!$I:$I,MOVIMIENTOS!$D:$D,"Aporte",MOVIMIENTOS!$E:$E,"Extraordinaria",MOVIMIENTOS!$F:$F,V$4,MOVIMIENTOS!$J:$J,$C10)</f>
        <v>0</v>
      </c>
      <c r="W10" s="5" t="n">
        <f aca="false">SUM(P10:V10)</f>
        <v>0</v>
      </c>
      <c r="X10" s="5" t="n">
        <f aca="false">O10+W10</f>
        <v>0</v>
      </c>
      <c r="Y10" s="9"/>
    </row>
    <row r="11" customFormat="false" ht="15" hidden="false" customHeight="false" outlineLevel="0" collapsed="false">
      <c r="A11" s="9" t="n">
        <v>7</v>
      </c>
      <c r="B11" s="9" t="s">
        <v>101</v>
      </c>
      <c r="C11" s="9" t="s">
        <v>102</v>
      </c>
      <c r="D11" s="9"/>
      <c r="E11" s="5" t="n">
        <f aca="false">SUMIFS(MOVIMIENTOS!$I:$I,MOVIMIENTOS!$D:$D,"Aporte",MOVIMIENTOS!$E:$E,"Anual",MOVIMIENTOS!$J:$J,$C11,MOVIMIENTOS!$B:$B,"&gt;="&amp;DATE(2026,3,1),MOVIMIENTOS!$B:$B,"&lt;"&amp;DATE(2026,4,1))</f>
        <v>3000</v>
      </c>
      <c r="F11" s="5" t="n">
        <f aca="false">SUMIFS(MOVIMIENTOS!$I:$I,MOVIMIENTOS!$D:$D,"Aporte",MOVIMIENTOS!$E:$E,"Anual",MOVIMIENTOS!$J:$J,$C11,MOVIMIENTOS!$B:$B,"&gt;="&amp;DATE(2026,4,1),MOVIMIENTOS!$B:$B,"&lt;"&amp;DATE(2026,5,1))</f>
        <v>3000</v>
      </c>
      <c r="G11" s="5" t="n">
        <f aca="false">SUMIFS(MOVIMIENTOS!$I:$I,MOVIMIENTOS!$D:$D,"Aporte",MOVIMIENTOS!$E:$E,"Anual",MOVIMIENTOS!$J:$J,$C11,MOVIMIENTOS!$B:$B,"&gt;="&amp;DATE(2026,5,1),MOVIMIENTOS!$B:$B,"&lt;"&amp;DATE(2026,6,1))</f>
        <v>3000</v>
      </c>
      <c r="H11" s="5" t="n">
        <f aca="false">SUMIFS(MOVIMIENTOS!$I:$I,MOVIMIENTOS!$D:$D,"Aporte",MOVIMIENTOS!$E:$E,"Anual",MOVIMIENTOS!$J:$J,$C11,MOVIMIENTOS!$B:$B,"&gt;="&amp;DATE(2026,6,1),MOVIMIENTOS!$B:$B,"&lt;"&amp;DATE(2026,7,1))</f>
        <v>0</v>
      </c>
      <c r="I11" s="5" t="n">
        <f aca="false">SUMIFS(MOVIMIENTOS!$I:$I,MOVIMIENTOS!$D:$D,"Aporte",MOVIMIENTOS!$E:$E,"Anual",MOVIMIENTOS!$J:$J,$C11,MOVIMIENTOS!$B:$B,"&gt;="&amp;DATE(2026,7,1),MOVIMIENTOS!$B:$B,"&lt;"&amp;DATE(2026,8,1))</f>
        <v>0</v>
      </c>
      <c r="J11" s="5" t="n">
        <f aca="false">SUMIFS(MOVIMIENTOS!$I:$I,MOVIMIENTOS!$D:$D,"Aporte",MOVIMIENTOS!$E:$E,"Anual",MOVIMIENTOS!$J:$J,$C11,MOVIMIENTOS!$B:$B,"&gt;="&amp;DATE(2026,8,1),MOVIMIENTOS!$B:$B,"&lt;"&amp;DATE(2026,9,1))</f>
        <v>0</v>
      </c>
      <c r="K11" s="5" t="n">
        <f aca="false">SUMIFS(MOVIMIENTOS!$I:$I,MOVIMIENTOS!$D:$D,"Aporte",MOVIMIENTOS!$E:$E,"Anual",MOVIMIENTOS!$J:$J,$C11,MOVIMIENTOS!$B:$B,"&gt;="&amp;DATE(2026,9,1),MOVIMIENTOS!$B:$B,"&lt;"&amp;DATE(2026,10,1))</f>
        <v>0</v>
      </c>
      <c r="L11" s="5" t="n">
        <f aca="false">SUMIFS(MOVIMIENTOS!$I:$I,MOVIMIENTOS!$D:$D,"Aporte",MOVIMIENTOS!$E:$E,"Anual",MOVIMIENTOS!$J:$J,$C11,MOVIMIENTOS!$B:$B,"&gt;="&amp;DATE(2026,10,1),MOVIMIENTOS!$B:$B,"&lt;"&amp;DATE(2026,11,1))</f>
        <v>0</v>
      </c>
      <c r="M11" s="5" t="n">
        <f aca="false">SUMIFS(MOVIMIENTOS!$I:$I,MOVIMIENTOS!$D:$D,"Aporte",MOVIMIENTOS!$E:$E,"Anual",MOVIMIENTOS!$J:$J,$C11,MOVIMIENTOS!$B:$B,"&gt;="&amp;DATE(2026,11,1),MOVIMIENTOS!$B:$B,"&lt;"&amp;DATE(2026,12,1))</f>
        <v>0</v>
      </c>
      <c r="N11" s="5" t="n">
        <f aca="false">SUMIFS(MOVIMIENTOS!$I:$I,MOVIMIENTOS!$D:$D,"Aporte",MOVIMIENTOS!$E:$E,"Anual",MOVIMIENTOS!$J:$J,$C11,MOVIMIENTOS!$B:$B,"&gt;="&amp;DATE(2026,12,1),MOVIMIENTOS!$B:$B,"&lt;"&amp;DATE(2026,13,1))</f>
        <v>0</v>
      </c>
      <c r="O11" s="5" t="n">
        <f aca="false">SUM(E11:N11)</f>
        <v>9000</v>
      </c>
      <c r="P11" s="5" t="n">
        <f aca="false">SUMIFS(MOVIMIENTOS!$I:$I,MOVIMIENTOS!$D:$D,"Aporte",MOVIMIENTOS!$E:$E,"Extraordinaria",MOVIMIENTOS!$F:$F,P$4,MOVIMIENTOS!$J:$J,$C11)</f>
        <v>1000</v>
      </c>
      <c r="Q11" s="5" t="n">
        <f aca="false">SUMIFS(MOVIMIENTOS!$I:$I,MOVIMIENTOS!$D:$D,"Aporte",MOVIMIENTOS!$E:$E,"Extraordinaria",MOVIMIENTOS!$F:$F,Q$4,MOVIMIENTOS!$J:$J,$C11)</f>
        <v>0</v>
      </c>
      <c r="R11" s="5" t="n">
        <f aca="false">SUMIFS(MOVIMIENTOS!$I:$I,MOVIMIENTOS!$D:$D,"Aporte",MOVIMIENTOS!$E:$E,"Extraordinaria",MOVIMIENTOS!$F:$F,R$4,MOVIMIENTOS!$J:$J,$C11)</f>
        <v>2000</v>
      </c>
      <c r="S11" s="5" t="n">
        <f aca="false">SUMIFS(MOVIMIENTOS!$I:$I,MOVIMIENTOS!$D:$D,"Aporte",MOVIMIENTOS!$E:$E,"Extraordinaria",MOVIMIENTOS!$F:$F,S$4,MOVIMIENTOS!$J:$J,$C11)</f>
        <v>0</v>
      </c>
      <c r="T11" s="5" t="n">
        <f aca="false">SUMIFS(MOVIMIENTOS!$I:$I,MOVIMIENTOS!$D:$D,"Aporte",MOVIMIENTOS!$E:$E,"Extraordinaria",MOVIMIENTOS!$F:$F,T$4,MOVIMIENTOS!$J:$J,$C11)</f>
        <v>0</v>
      </c>
      <c r="U11" s="5" t="n">
        <f aca="false">SUMIFS(MOVIMIENTOS!$I:$I,MOVIMIENTOS!$D:$D,"Aporte",MOVIMIENTOS!$E:$E,"Extraordinaria",MOVIMIENTOS!$F:$F,U$4,MOVIMIENTOS!$J:$J,$C11)</f>
        <v>0</v>
      </c>
      <c r="V11" s="5" t="n">
        <f aca="false">SUMIFS(MOVIMIENTOS!$I:$I,MOVIMIENTOS!$D:$D,"Aporte",MOVIMIENTOS!$E:$E,"Extraordinaria",MOVIMIENTOS!$F:$F,V$4,MOVIMIENTOS!$J:$J,$C11)</f>
        <v>0</v>
      </c>
      <c r="W11" s="5" t="n">
        <f aca="false">SUM(P11:V11)</f>
        <v>3000</v>
      </c>
      <c r="X11" s="5" t="n">
        <f aca="false">O11+W11</f>
        <v>12000</v>
      </c>
      <c r="Y11" s="9"/>
    </row>
    <row r="12" customFormat="false" ht="15" hidden="false" customHeight="false" outlineLevel="0" collapsed="false">
      <c r="A12" s="9" t="n">
        <v>8</v>
      </c>
      <c r="B12" s="9" t="s">
        <v>103</v>
      </c>
      <c r="C12" s="9" t="s">
        <v>104</v>
      </c>
      <c r="D12" s="9" t="s">
        <v>105</v>
      </c>
      <c r="E12" s="5" t="n">
        <f aca="false">SUMIFS(MOVIMIENTOS!$I:$I,MOVIMIENTOS!$D:$D,"Aporte",MOVIMIENTOS!$E:$E,"Anual",MOVIMIENTOS!$J:$J,$C12,MOVIMIENTOS!$B:$B,"&gt;="&amp;DATE(2026,3,1),MOVIMIENTOS!$B:$B,"&lt;"&amp;DATE(2026,4,1))</f>
        <v>3000</v>
      </c>
      <c r="F12" s="5" t="n">
        <f aca="false">SUMIFS(MOVIMIENTOS!$I:$I,MOVIMIENTOS!$D:$D,"Aporte",MOVIMIENTOS!$E:$E,"Anual",MOVIMIENTOS!$J:$J,$C12,MOVIMIENTOS!$B:$B,"&gt;="&amp;DATE(2026,4,1),MOVIMIENTOS!$B:$B,"&lt;"&amp;DATE(2026,5,1))</f>
        <v>3000</v>
      </c>
      <c r="G12" s="5" t="n">
        <f aca="false">SUMIFS(MOVIMIENTOS!$I:$I,MOVIMIENTOS!$D:$D,"Aporte",MOVIMIENTOS!$E:$E,"Anual",MOVIMIENTOS!$J:$J,$C12,MOVIMIENTOS!$B:$B,"&gt;="&amp;DATE(2026,5,1),MOVIMIENTOS!$B:$B,"&lt;"&amp;DATE(2026,6,1))</f>
        <v>3000</v>
      </c>
      <c r="H12" s="5" t="n">
        <f aca="false">SUMIFS(MOVIMIENTOS!$I:$I,MOVIMIENTOS!$D:$D,"Aporte",MOVIMIENTOS!$E:$E,"Anual",MOVIMIENTOS!$J:$J,$C12,MOVIMIENTOS!$B:$B,"&gt;="&amp;DATE(2026,6,1),MOVIMIENTOS!$B:$B,"&lt;"&amp;DATE(2026,7,1))</f>
        <v>3000</v>
      </c>
      <c r="I12" s="5" t="n">
        <f aca="false">SUMIFS(MOVIMIENTOS!$I:$I,MOVIMIENTOS!$D:$D,"Aporte",MOVIMIENTOS!$E:$E,"Anual",MOVIMIENTOS!$J:$J,$C12,MOVIMIENTOS!$B:$B,"&gt;="&amp;DATE(2026,7,1),MOVIMIENTOS!$B:$B,"&lt;"&amp;DATE(2026,8,1))</f>
        <v>3000</v>
      </c>
      <c r="J12" s="5" t="n">
        <f aca="false">SUMIFS(MOVIMIENTOS!$I:$I,MOVIMIENTOS!$D:$D,"Aporte",MOVIMIENTOS!$E:$E,"Anual",MOVIMIENTOS!$J:$J,$C12,MOVIMIENTOS!$B:$B,"&gt;="&amp;DATE(2026,8,1),MOVIMIENTOS!$B:$B,"&lt;"&amp;DATE(2026,9,1))</f>
        <v>0</v>
      </c>
      <c r="K12" s="5" t="n">
        <f aca="false">SUMIFS(MOVIMIENTOS!$I:$I,MOVIMIENTOS!$D:$D,"Aporte",MOVIMIENTOS!$E:$E,"Anual",MOVIMIENTOS!$J:$J,$C12,MOVIMIENTOS!$B:$B,"&gt;="&amp;DATE(2026,9,1),MOVIMIENTOS!$B:$B,"&lt;"&amp;DATE(2026,10,1))</f>
        <v>0</v>
      </c>
      <c r="L12" s="5" t="n">
        <f aca="false">SUMIFS(MOVIMIENTOS!$I:$I,MOVIMIENTOS!$D:$D,"Aporte",MOVIMIENTOS!$E:$E,"Anual",MOVIMIENTOS!$J:$J,$C12,MOVIMIENTOS!$B:$B,"&gt;="&amp;DATE(2026,10,1),MOVIMIENTOS!$B:$B,"&lt;"&amp;DATE(2026,11,1))</f>
        <v>0</v>
      </c>
      <c r="M12" s="5" t="n">
        <f aca="false">SUMIFS(MOVIMIENTOS!$I:$I,MOVIMIENTOS!$D:$D,"Aporte",MOVIMIENTOS!$E:$E,"Anual",MOVIMIENTOS!$J:$J,$C12,MOVIMIENTOS!$B:$B,"&gt;="&amp;DATE(2026,11,1),MOVIMIENTOS!$B:$B,"&lt;"&amp;DATE(2026,12,1))</f>
        <v>0</v>
      </c>
      <c r="N12" s="5" t="n">
        <f aca="false">SUMIFS(MOVIMIENTOS!$I:$I,MOVIMIENTOS!$D:$D,"Aporte",MOVIMIENTOS!$E:$E,"Anual",MOVIMIENTOS!$J:$J,$C12,MOVIMIENTOS!$B:$B,"&gt;="&amp;DATE(2026,12,1),MOVIMIENTOS!$B:$B,"&lt;"&amp;DATE(2026,13,1))</f>
        <v>0</v>
      </c>
      <c r="O12" s="5" t="n">
        <f aca="false">SUM(E12:N12)</f>
        <v>15000</v>
      </c>
      <c r="P12" s="5" t="n">
        <f aca="false">SUMIFS(MOVIMIENTOS!$I:$I,MOVIMIENTOS!$D:$D,"Aporte",MOVIMIENTOS!$E:$E,"Extraordinaria",MOVIMIENTOS!$F:$F,P$4,MOVIMIENTOS!$J:$J,$C12)</f>
        <v>1000</v>
      </c>
      <c r="Q12" s="16" t="n">
        <f aca="false">SUMIFS(MOVIMIENTOS!$I:$I,MOVIMIENTOS!$D:$D,"Aporte",MOVIMIENTOS!$E:$E,"Extraordinaria",MOVIMIENTOS!$F:$F,Q$4,MOVIMIENTOS!$J:$J,$C12)</f>
        <v>2000</v>
      </c>
      <c r="R12" s="5" t="n">
        <f aca="false">SUMIFS(MOVIMIENTOS!$I:$I,MOVIMIENTOS!$D:$D,"Aporte",MOVIMIENTOS!$E:$E,"Extraordinaria",MOVIMIENTOS!$F:$F,R$4,MOVIMIENTOS!$J:$J,$C12)</f>
        <v>2000</v>
      </c>
      <c r="S12" s="5" t="n">
        <f aca="false">SUMIFS(MOVIMIENTOS!$I:$I,MOVIMIENTOS!$D:$D,"Aporte",MOVIMIENTOS!$E:$E,"Extraordinaria",MOVIMIENTOS!$F:$F,S$4,MOVIMIENTOS!$J:$J,$C12)</f>
        <v>0</v>
      </c>
      <c r="T12" s="5" t="n">
        <f aca="false">SUMIFS(MOVIMIENTOS!$I:$I,MOVIMIENTOS!$D:$D,"Aporte",MOVIMIENTOS!$E:$E,"Extraordinaria",MOVIMIENTOS!$F:$F,T$4,MOVIMIENTOS!$J:$J,$C12)</f>
        <v>0</v>
      </c>
      <c r="U12" s="5" t="n">
        <f aca="false">SUMIFS(MOVIMIENTOS!$I:$I,MOVIMIENTOS!$D:$D,"Aporte",MOVIMIENTOS!$E:$E,"Extraordinaria",MOVIMIENTOS!$F:$F,U$4,MOVIMIENTOS!$J:$J,$C12)</f>
        <v>0</v>
      </c>
      <c r="V12" s="5" t="n">
        <f aca="false">SUMIFS(MOVIMIENTOS!$I:$I,MOVIMIENTOS!$D:$D,"Aporte",MOVIMIENTOS!$E:$E,"Extraordinaria",MOVIMIENTOS!$F:$F,V$4,MOVIMIENTOS!$J:$J,$C12)</f>
        <v>0</v>
      </c>
      <c r="W12" s="5" t="n">
        <f aca="false">SUM(P12:V12)</f>
        <v>5000</v>
      </c>
      <c r="X12" s="5" t="n">
        <f aca="false">O12+W12</f>
        <v>20000</v>
      </c>
      <c r="Y12" s="9"/>
    </row>
    <row r="13" customFormat="false" ht="15" hidden="false" customHeight="false" outlineLevel="0" collapsed="false">
      <c r="A13" s="9" t="n">
        <v>9</v>
      </c>
      <c r="B13" s="9" t="s">
        <v>106</v>
      </c>
      <c r="C13" s="9" t="s">
        <v>107</v>
      </c>
      <c r="D13" s="9"/>
      <c r="E13" s="5" t="n">
        <f aca="false">SUMIFS(MOVIMIENTOS!$I:$I,MOVIMIENTOS!$D:$D,"Aporte",MOVIMIENTOS!$E:$E,"Anual",MOVIMIENTOS!$J:$J,$C13,MOVIMIENTOS!$B:$B,"&gt;="&amp;DATE(2026,3,1),MOVIMIENTOS!$B:$B,"&lt;"&amp;DATE(2026,4,1))</f>
        <v>3000</v>
      </c>
      <c r="F13" s="5" t="n">
        <f aca="false">SUMIFS(MOVIMIENTOS!$I:$I,MOVIMIENTOS!$D:$D,"Aporte",MOVIMIENTOS!$E:$E,"Anual",MOVIMIENTOS!$J:$J,$C13,MOVIMIENTOS!$B:$B,"&gt;="&amp;DATE(2026,4,1),MOVIMIENTOS!$B:$B,"&lt;"&amp;DATE(2026,5,1))</f>
        <v>3000</v>
      </c>
      <c r="G13" s="5" t="n">
        <f aca="false">SUMIFS(MOVIMIENTOS!$I:$I,MOVIMIENTOS!$D:$D,"Aporte",MOVIMIENTOS!$E:$E,"Anual",MOVIMIENTOS!$J:$J,$C13,MOVIMIENTOS!$B:$B,"&gt;="&amp;DATE(2026,5,1),MOVIMIENTOS!$B:$B,"&lt;"&amp;DATE(2026,6,1))</f>
        <v>3000</v>
      </c>
      <c r="H13" s="5" t="n">
        <f aca="false">SUMIFS(MOVIMIENTOS!$I:$I,MOVIMIENTOS!$D:$D,"Aporte",MOVIMIENTOS!$E:$E,"Anual",MOVIMIENTOS!$J:$J,$C13,MOVIMIENTOS!$B:$B,"&gt;="&amp;DATE(2026,6,1),MOVIMIENTOS!$B:$B,"&lt;"&amp;DATE(2026,7,1))</f>
        <v>3000</v>
      </c>
      <c r="I13" s="5" t="n">
        <f aca="false">SUMIFS(MOVIMIENTOS!$I:$I,MOVIMIENTOS!$D:$D,"Aporte",MOVIMIENTOS!$E:$E,"Anual",MOVIMIENTOS!$J:$J,$C13,MOVIMIENTOS!$B:$B,"&gt;="&amp;DATE(2026,7,1),MOVIMIENTOS!$B:$B,"&lt;"&amp;DATE(2026,8,1))</f>
        <v>0</v>
      </c>
      <c r="J13" s="5" t="n">
        <f aca="false">SUMIFS(MOVIMIENTOS!$I:$I,MOVIMIENTOS!$D:$D,"Aporte",MOVIMIENTOS!$E:$E,"Anual",MOVIMIENTOS!$J:$J,$C13,MOVIMIENTOS!$B:$B,"&gt;="&amp;DATE(2026,8,1),MOVIMIENTOS!$B:$B,"&lt;"&amp;DATE(2026,9,1))</f>
        <v>0</v>
      </c>
      <c r="K13" s="5" t="n">
        <f aca="false">SUMIFS(MOVIMIENTOS!$I:$I,MOVIMIENTOS!$D:$D,"Aporte",MOVIMIENTOS!$E:$E,"Anual",MOVIMIENTOS!$J:$J,$C13,MOVIMIENTOS!$B:$B,"&gt;="&amp;DATE(2026,9,1),MOVIMIENTOS!$B:$B,"&lt;"&amp;DATE(2026,10,1))</f>
        <v>0</v>
      </c>
      <c r="L13" s="5" t="n">
        <f aca="false">SUMIFS(MOVIMIENTOS!$I:$I,MOVIMIENTOS!$D:$D,"Aporte",MOVIMIENTOS!$E:$E,"Anual",MOVIMIENTOS!$J:$J,$C13,MOVIMIENTOS!$B:$B,"&gt;="&amp;DATE(2026,10,1),MOVIMIENTOS!$B:$B,"&lt;"&amp;DATE(2026,11,1))</f>
        <v>0</v>
      </c>
      <c r="M13" s="5" t="n">
        <f aca="false">SUMIFS(MOVIMIENTOS!$I:$I,MOVIMIENTOS!$D:$D,"Aporte",MOVIMIENTOS!$E:$E,"Anual",MOVIMIENTOS!$J:$J,$C13,MOVIMIENTOS!$B:$B,"&gt;="&amp;DATE(2026,11,1),MOVIMIENTOS!$B:$B,"&lt;"&amp;DATE(2026,12,1))</f>
        <v>0</v>
      </c>
      <c r="N13" s="5" t="n">
        <f aca="false">SUMIFS(MOVIMIENTOS!$I:$I,MOVIMIENTOS!$D:$D,"Aporte",MOVIMIENTOS!$E:$E,"Anual",MOVIMIENTOS!$J:$J,$C13,MOVIMIENTOS!$B:$B,"&gt;="&amp;DATE(2026,12,1),MOVIMIENTOS!$B:$B,"&lt;"&amp;DATE(2026,13,1))</f>
        <v>0</v>
      </c>
      <c r="O13" s="5" t="n">
        <f aca="false">SUM(E13:N13)</f>
        <v>12000</v>
      </c>
      <c r="P13" s="5" t="n">
        <f aca="false">SUMIFS(MOVIMIENTOS!$I:$I,MOVIMIENTOS!$D:$D,"Aporte",MOVIMIENTOS!$E:$E,"Extraordinaria",MOVIMIENTOS!$F:$F,P$4,MOVIMIENTOS!$J:$J,$C13)</f>
        <v>1000</v>
      </c>
      <c r="Q13" s="16" t="n">
        <f aca="false">SUMIFS(MOVIMIENTOS!$I:$I,MOVIMIENTOS!$D:$D,"Aporte",MOVIMIENTOS!$E:$E,"Extraordinaria",MOVIMIENTOS!$F:$F,Q$4,MOVIMIENTOS!$J:$J,$C13)</f>
        <v>2000</v>
      </c>
      <c r="R13" s="5" t="n">
        <f aca="false">SUMIFS(MOVIMIENTOS!$I:$I,MOVIMIENTOS!$D:$D,"Aporte",MOVIMIENTOS!$E:$E,"Extraordinaria",MOVIMIENTOS!$F:$F,R$4,MOVIMIENTOS!$J:$J,$C13)</f>
        <v>2000</v>
      </c>
      <c r="S13" s="5" t="n">
        <f aca="false">SUMIFS(MOVIMIENTOS!$I:$I,MOVIMIENTOS!$D:$D,"Aporte",MOVIMIENTOS!$E:$E,"Extraordinaria",MOVIMIENTOS!$F:$F,S$4,MOVIMIENTOS!$J:$J,$C13)</f>
        <v>0</v>
      </c>
      <c r="T13" s="5" t="n">
        <f aca="false">SUMIFS(MOVIMIENTOS!$I:$I,MOVIMIENTOS!$D:$D,"Aporte",MOVIMIENTOS!$E:$E,"Extraordinaria",MOVIMIENTOS!$F:$F,T$4,MOVIMIENTOS!$J:$J,$C13)</f>
        <v>0</v>
      </c>
      <c r="U13" s="5" t="n">
        <f aca="false">SUMIFS(MOVIMIENTOS!$I:$I,MOVIMIENTOS!$D:$D,"Aporte",MOVIMIENTOS!$E:$E,"Extraordinaria",MOVIMIENTOS!$F:$F,U$4,MOVIMIENTOS!$J:$J,$C13)</f>
        <v>0</v>
      </c>
      <c r="V13" s="5" t="n">
        <f aca="false">SUMIFS(MOVIMIENTOS!$I:$I,MOVIMIENTOS!$D:$D,"Aporte",MOVIMIENTOS!$E:$E,"Extraordinaria",MOVIMIENTOS!$F:$F,V$4,MOVIMIENTOS!$J:$J,$C13)</f>
        <v>0</v>
      </c>
      <c r="W13" s="5" t="n">
        <f aca="false">SUM(P13:V13)</f>
        <v>5000</v>
      </c>
      <c r="X13" s="5" t="n">
        <f aca="false">O13+W13</f>
        <v>17000</v>
      </c>
      <c r="Y13" s="9"/>
    </row>
    <row r="14" customFormat="false" ht="15" hidden="false" customHeight="false" outlineLevel="0" collapsed="false">
      <c r="A14" s="9" t="n">
        <v>10</v>
      </c>
      <c r="B14" s="9" t="s">
        <v>108</v>
      </c>
      <c r="C14" s="9" t="s">
        <v>109</v>
      </c>
      <c r="D14" s="9"/>
      <c r="E14" s="5" t="n">
        <f aca="false">SUMIFS(MOVIMIENTOS!$I:$I,MOVIMIENTOS!$D:$D,"Aporte",MOVIMIENTOS!$E:$E,"Anual",MOVIMIENTOS!$J:$J,$C14,MOVIMIENTOS!$B:$B,"&gt;="&amp;DATE(2026,3,1),MOVIMIENTOS!$B:$B,"&lt;"&amp;DATE(2026,4,1))</f>
        <v>3000</v>
      </c>
      <c r="F14" s="5" t="n">
        <f aca="false">SUMIFS(MOVIMIENTOS!$I:$I,MOVIMIENTOS!$D:$D,"Aporte",MOVIMIENTOS!$E:$E,"Anual",MOVIMIENTOS!$J:$J,$C14,MOVIMIENTOS!$B:$B,"&gt;="&amp;DATE(2026,4,1),MOVIMIENTOS!$B:$B,"&lt;"&amp;DATE(2026,5,1))</f>
        <v>3000</v>
      </c>
      <c r="G14" s="5" t="n">
        <f aca="false">SUMIFS(MOVIMIENTOS!$I:$I,MOVIMIENTOS!$D:$D,"Aporte",MOVIMIENTOS!$E:$E,"Anual",MOVIMIENTOS!$J:$J,$C14,MOVIMIENTOS!$B:$B,"&gt;="&amp;DATE(2026,5,1),MOVIMIENTOS!$B:$B,"&lt;"&amp;DATE(2026,6,1))</f>
        <v>3000</v>
      </c>
      <c r="H14" s="5" t="n">
        <f aca="false">SUMIFS(MOVIMIENTOS!$I:$I,MOVIMIENTOS!$D:$D,"Aporte",MOVIMIENTOS!$E:$E,"Anual",MOVIMIENTOS!$J:$J,$C14,MOVIMIENTOS!$B:$B,"&gt;="&amp;DATE(2026,6,1),MOVIMIENTOS!$B:$B,"&lt;"&amp;DATE(2026,7,1))</f>
        <v>3000</v>
      </c>
      <c r="I14" s="5" t="n">
        <f aca="false">SUMIFS(MOVIMIENTOS!$I:$I,MOVIMIENTOS!$D:$D,"Aporte",MOVIMIENTOS!$E:$E,"Anual",MOVIMIENTOS!$J:$J,$C14,MOVIMIENTOS!$B:$B,"&gt;="&amp;DATE(2026,7,1),MOVIMIENTOS!$B:$B,"&lt;"&amp;DATE(2026,8,1))</f>
        <v>0</v>
      </c>
      <c r="J14" s="5" t="n">
        <f aca="false">SUMIFS(MOVIMIENTOS!$I:$I,MOVIMIENTOS!$D:$D,"Aporte",MOVIMIENTOS!$E:$E,"Anual",MOVIMIENTOS!$J:$J,$C14,MOVIMIENTOS!$B:$B,"&gt;="&amp;DATE(2026,8,1),MOVIMIENTOS!$B:$B,"&lt;"&amp;DATE(2026,9,1))</f>
        <v>0</v>
      </c>
      <c r="K14" s="5" t="n">
        <f aca="false">SUMIFS(MOVIMIENTOS!$I:$I,MOVIMIENTOS!$D:$D,"Aporte",MOVIMIENTOS!$E:$E,"Anual",MOVIMIENTOS!$J:$J,$C14,MOVIMIENTOS!$B:$B,"&gt;="&amp;DATE(2026,9,1),MOVIMIENTOS!$B:$B,"&lt;"&amp;DATE(2026,10,1))</f>
        <v>0</v>
      </c>
      <c r="L14" s="5" t="n">
        <f aca="false">SUMIFS(MOVIMIENTOS!$I:$I,MOVIMIENTOS!$D:$D,"Aporte",MOVIMIENTOS!$E:$E,"Anual",MOVIMIENTOS!$J:$J,$C14,MOVIMIENTOS!$B:$B,"&gt;="&amp;DATE(2026,10,1),MOVIMIENTOS!$B:$B,"&lt;"&amp;DATE(2026,11,1))</f>
        <v>0</v>
      </c>
      <c r="M14" s="5" t="n">
        <f aca="false">SUMIFS(MOVIMIENTOS!$I:$I,MOVIMIENTOS!$D:$D,"Aporte",MOVIMIENTOS!$E:$E,"Anual",MOVIMIENTOS!$J:$J,$C14,MOVIMIENTOS!$B:$B,"&gt;="&amp;DATE(2026,11,1),MOVIMIENTOS!$B:$B,"&lt;"&amp;DATE(2026,12,1))</f>
        <v>0</v>
      </c>
      <c r="N14" s="5" t="n">
        <f aca="false">SUMIFS(MOVIMIENTOS!$I:$I,MOVIMIENTOS!$D:$D,"Aporte",MOVIMIENTOS!$E:$E,"Anual",MOVIMIENTOS!$J:$J,$C14,MOVIMIENTOS!$B:$B,"&gt;="&amp;DATE(2026,12,1),MOVIMIENTOS!$B:$B,"&lt;"&amp;DATE(2026,13,1))</f>
        <v>0</v>
      </c>
      <c r="O14" s="5" t="n">
        <f aca="false">SUM(E14:N14)</f>
        <v>12000</v>
      </c>
      <c r="P14" s="5" t="n">
        <f aca="false">SUMIFS(MOVIMIENTOS!$I:$I,MOVIMIENTOS!$D:$D,"Aporte",MOVIMIENTOS!$E:$E,"Extraordinaria",MOVIMIENTOS!$F:$F,P$4,MOVIMIENTOS!$J:$J,$C14)</f>
        <v>1000</v>
      </c>
      <c r="Q14" s="16" t="n">
        <f aca="false">SUMIFS(MOVIMIENTOS!$I:$I,MOVIMIENTOS!$D:$D,"Aporte",MOVIMIENTOS!$E:$E,"Extraordinaria",MOVIMIENTOS!$F:$F,Q$4,MOVIMIENTOS!$J:$J,$C14)</f>
        <v>2000</v>
      </c>
      <c r="R14" s="5" t="n">
        <f aca="false">SUMIFS(MOVIMIENTOS!$I:$I,MOVIMIENTOS!$D:$D,"Aporte",MOVIMIENTOS!$E:$E,"Extraordinaria",MOVIMIENTOS!$F:$F,R$4,MOVIMIENTOS!$J:$J,$C14)</f>
        <v>2000</v>
      </c>
      <c r="S14" s="5" t="n">
        <f aca="false">SUMIFS(MOVIMIENTOS!$I:$I,MOVIMIENTOS!$D:$D,"Aporte",MOVIMIENTOS!$E:$E,"Extraordinaria",MOVIMIENTOS!$F:$F,S$4,MOVIMIENTOS!$J:$J,$C14)</f>
        <v>0</v>
      </c>
      <c r="T14" s="5" t="n">
        <f aca="false">SUMIFS(MOVIMIENTOS!$I:$I,MOVIMIENTOS!$D:$D,"Aporte",MOVIMIENTOS!$E:$E,"Extraordinaria",MOVIMIENTOS!$F:$F,T$4,MOVIMIENTOS!$J:$J,$C14)</f>
        <v>0</v>
      </c>
      <c r="U14" s="5" t="n">
        <f aca="false">SUMIFS(MOVIMIENTOS!$I:$I,MOVIMIENTOS!$D:$D,"Aporte",MOVIMIENTOS!$E:$E,"Extraordinaria",MOVIMIENTOS!$F:$F,U$4,MOVIMIENTOS!$J:$J,$C14)</f>
        <v>0</v>
      </c>
      <c r="V14" s="5" t="n">
        <f aca="false">SUMIFS(MOVIMIENTOS!$I:$I,MOVIMIENTOS!$D:$D,"Aporte",MOVIMIENTOS!$E:$E,"Extraordinaria",MOVIMIENTOS!$F:$F,V$4,MOVIMIENTOS!$J:$J,$C14)</f>
        <v>0</v>
      </c>
      <c r="W14" s="5" t="n">
        <f aca="false">SUM(P14:V14)</f>
        <v>5000</v>
      </c>
      <c r="X14" s="5" t="n">
        <f aca="false">O14+W14</f>
        <v>17000</v>
      </c>
      <c r="Y14" s="9"/>
    </row>
    <row r="15" customFormat="false" ht="15" hidden="false" customHeight="false" outlineLevel="0" collapsed="false">
      <c r="A15" s="9" t="n">
        <v>11</v>
      </c>
      <c r="B15" s="9" t="s">
        <v>110</v>
      </c>
      <c r="C15" s="9" t="s">
        <v>111</v>
      </c>
      <c r="D15" s="9" t="s">
        <v>112</v>
      </c>
      <c r="E15" s="5" t="n">
        <f aca="false">SUMIFS(MOVIMIENTOS!$I:$I,MOVIMIENTOS!$D:$D,"Aporte",MOVIMIENTOS!$E:$E,"Anual",MOVIMIENTOS!$J:$J,$C15,MOVIMIENTOS!$B:$B,"&gt;="&amp;DATE(2026,3,1),MOVIMIENTOS!$B:$B,"&lt;"&amp;DATE(2026,4,1))</f>
        <v>3000</v>
      </c>
      <c r="F15" s="5" t="n">
        <f aca="false">SUMIFS(MOVIMIENTOS!$I:$I,MOVIMIENTOS!$D:$D,"Aporte",MOVIMIENTOS!$E:$E,"Anual",MOVIMIENTOS!$J:$J,$C15,MOVIMIENTOS!$B:$B,"&gt;="&amp;DATE(2026,4,1),MOVIMIENTOS!$B:$B,"&lt;"&amp;DATE(2026,5,1))</f>
        <v>3000</v>
      </c>
      <c r="G15" s="5" t="n">
        <f aca="false">SUMIFS(MOVIMIENTOS!$I:$I,MOVIMIENTOS!$D:$D,"Aporte",MOVIMIENTOS!$E:$E,"Anual",MOVIMIENTOS!$J:$J,$C15,MOVIMIENTOS!$B:$B,"&gt;="&amp;DATE(2026,5,1),MOVIMIENTOS!$B:$B,"&lt;"&amp;DATE(2026,6,1))</f>
        <v>3000</v>
      </c>
      <c r="H15" s="5" t="n">
        <f aca="false">SUMIFS(MOVIMIENTOS!$I:$I,MOVIMIENTOS!$D:$D,"Aporte",MOVIMIENTOS!$E:$E,"Anual",MOVIMIENTOS!$J:$J,$C15,MOVIMIENTOS!$B:$B,"&gt;="&amp;DATE(2026,6,1),MOVIMIENTOS!$B:$B,"&lt;"&amp;DATE(2026,7,1))</f>
        <v>3000</v>
      </c>
      <c r="I15" s="5" t="n">
        <f aca="false">SUMIFS(MOVIMIENTOS!$I:$I,MOVIMIENTOS!$D:$D,"Aporte",MOVIMIENTOS!$E:$E,"Anual",MOVIMIENTOS!$J:$J,$C15,MOVIMIENTOS!$B:$B,"&gt;="&amp;DATE(2026,7,1),MOVIMIENTOS!$B:$B,"&lt;"&amp;DATE(2026,8,1))</f>
        <v>3000</v>
      </c>
      <c r="J15" s="5" t="n">
        <f aca="false">SUMIFS(MOVIMIENTOS!$I:$I,MOVIMIENTOS!$D:$D,"Aporte",MOVIMIENTOS!$E:$E,"Anual",MOVIMIENTOS!$J:$J,$C15,MOVIMIENTOS!$B:$B,"&gt;="&amp;DATE(2026,8,1),MOVIMIENTOS!$B:$B,"&lt;"&amp;DATE(2026,9,1))</f>
        <v>0</v>
      </c>
      <c r="K15" s="5" t="n">
        <f aca="false">SUMIFS(MOVIMIENTOS!$I:$I,MOVIMIENTOS!$D:$D,"Aporte",MOVIMIENTOS!$E:$E,"Anual",MOVIMIENTOS!$J:$J,$C15,MOVIMIENTOS!$B:$B,"&gt;="&amp;DATE(2026,9,1),MOVIMIENTOS!$B:$B,"&lt;"&amp;DATE(2026,10,1))</f>
        <v>0</v>
      </c>
      <c r="L15" s="5" t="n">
        <f aca="false">SUMIFS(MOVIMIENTOS!$I:$I,MOVIMIENTOS!$D:$D,"Aporte",MOVIMIENTOS!$E:$E,"Anual",MOVIMIENTOS!$J:$J,$C15,MOVIMIENTOS!$B:$B,"&gt;="&amp;DATE(2026,10,1),MOVIMIENTOS!$B:$B,"&lt;"&amp;DATE(2026,11,1))</f>
        <v>0</v>
      </c>
      <c r="M15" s="5" t="n">
        <f aca="false">SUMIFS(MOVIMIENTOS!$I:$I,MOVIMIENTOS!$D:$D,"Aporte",MOVIMIENTOS!$E:$E,"Anual",MOVIMIENTOS!$J:$J,$C15,MOVIMIENTOS!$B:$B,"&gt;="&amp;DATE(2026,11,1),MOVIMIENTOS!$B:$B,"&lt;"&amp;DATE(2026,12,1))</f>
        <v>0</v>
      </c>
      <c r="N15" s="5" t="n">
        <f aca="false">SUMIFS(MOVIMIENTOS!$I:$I,MOVIMIENTOS!$D:$D,"Aporte",MOVIMIENTOS!$E:$E,"Anual",MOVIMIENTOS!$J:$J,$C15,MOVIMIENTOS!$B:$B,"&gt;="&amp;DATE(2026,12,1),MOVIMIENTOS!$B:$B,"&lt;"&amp;DATE(2026,13,1))</f>
        <v>0</v>
      </c>
      <c r="O15" s="5" t="n">
        <f aca="false">SUM(E15:N15)</f>
        <v>15000</v>
      </c>
      <c r="P15" s="5" t="n">
        <f aca="false">SUMIFS(MOVIMIENTOS!$I:$I,MOVIMIENTOS!$D:$D,"Aporte",MOVIMIENTOS!$E:$E,"Extraordinaria",MOVIMIENTOS!$F:$F,P$4,MOVIMIENTOS!$J:$J,$C15)</f>
        <v>1000</v>
      </c>
      <c r="Q15" s="5" t="n">
        <f aca="false">SUMIFS(MOVIMIENTOS!$I:$I,MOVIMIENTOS!$D:$D,"Aporte",MOVIMIENTOS!$E:$E,"Extraordinaria",MOVIMIENTOS!$F:$F,Q$4,MOVIMIENTOS!$J:$J,$C15)</f>
        <v>2000</v>
      </c>
      <c r="R15" s="5" t="n">
        <f aca="false">SUMIFS(MOVIMIENTOS!$I:$I,MOVIMIENTOS!$D:$D,"Aporte",MOVIMIENTOS!$E:$E,"Extraordinaria",MOVIMIENTOS!$F:$F,R$4,MOVIMIENTOS!$J:$J,$C15)</f>
        <v>2000</v>
      </c>
      <c r="S15" s="5" t="n">
        <f aca="false">SUMIFS(MOVIMIENTOS!$I:$I,MOVIMIENTOS!$D:$D,"Aporte",MOVIMIENTOS!$E:$E,"Extraordinaria",MOVIMIENTOS!$F:$F,S$4,MOVIMIENTOS!$J:$J,$C15)</f>
        <v>0</v>
      </c>
      <c r="T15" s="5" t="n">
        <f aca="false">SUMIFS(MOVIMIENTOS!$I:$I,MOVIMIENTOS!$D:$D,"Aporte",MOVIMIENTOS!$E:$E,"Extraordinaria",MOVIMIENTOS!$F:$F,T$4,MOVIMIENTOS!$J:$J,$C15)</f>
        <v>0</v>
      </c>
      <c r="U15" s="5" t="n">
        <f aca="false">SUMIFS(MOVIMIENTOS!$I:$I,MOVIMIENTOS!$D:$D,"Aporte",MOVIMIENTOS!$E:$E,"Extraordinaria",MOVIMIENTOS!$F:$F,U$4,MOVIMIENTOS!$J:$J,$C15)</f>
        <v>1000</v>
      </c>
      <c r="V15" s="5" t="n">
        <f aca="false">SUMIFS(MOVIMIENTOS!$I:$I,MOVIMIENTOS!$D:$D,"Aporte",MOVIMIENTOS!$E:$E,"Extraordinaria",MOVIMIENTOS!$F:$F,V$4,MOVIMIENTOS!$J:$J,$C15)</f>
        <v>0</v>
      </c>
      <c r="W15" s="5" t="n">
        <f aca="false">SUM(P15:V15)</f>
        <v>6000</v>
      </c>
      <c r="X15" s="5" t="n">
        <f aca="false">O15+W15</f>
        <v>21000</v>
      </c>
      <c r="Y15" s="9"/>
    </row>
    <row r="16" customFormat="false" ht="15" hidden="false" customHeight="false" outlineLevel="0" collapsed="false">
      <c r="A16" s="9" t="n">
        <v>12</v>
      </c>
      <c r="B16" s="9" t="s">
        <v>113</v>
      </c>
      <c r="C16" s="9" t="s">
        <v>114</v>
      </c>
      <c r="D16" s="9" t="s">
        <v>115</v>
      </c>
      <c r="E16" s="5" t="n">
        <f aca="false">SUMIFS(MOVIMIENTOS!$I:$I,MOVIMIENTOS!$D:$D,"Aporte",MOVIMIENTOS!$E:$E,"Anual",MOVIMIENTOS!$J:$J,$C16,MOVIMIENTOS!$B:$B,"&gt;="&amp;DATE(2026,3,1),MOVIMIENTOS!$B:$B,"&lt;"&amp;DATE(2026,4,1))</f>
        <v>3000</v>
      </c>
      <c r="F16" s="5" t="n">
        <f aca="false">SUMIFS(MOVIMIENTOS!$I:$I,MOVIMIENTOS!$D:$D,"Aporte",MOVIMIENTOS!$E:$E,"Anual",MOVIMIENTOS!$J:$J,$C16,MOVIMIENTOS!$B:$B,"&gt;="&amp;DATE(2026,4,1),MOVIMIENTOS!$B:$B,"&lt;"&amp;DATE(2026,5,1))</f>
        <v>3000</v>
      </c>
      <c r="G16" s="5" t="n">
        <f aca="false">SUMIFS(MOVIMIENTOS!$I:$I,MOVIMIENTOS!$D:$D,"Aporte",MOVIMIENTOS!$E:$E,"Anual",MOVIMIENTOS!$J:$J,$C16,MOVIMIENTOS!$B:$B,"&gt;="&amp;DATE(2026,5,1),MOVIMIENTOS!$B:$B,"&lt;"&amp;DATE(2026,6,1))</f>
        <v>3000</v>
      </c>
      <c r="H16" s="5" t="n">
        <f aca="false">SUMIFS(MOVIMIENTOS!$I:$I,MOVIMIENTOS!$D:$D,"Aporte",MOVIMIENTOS!$E:$E,"Anual",MOVIMIENTOS!$J:$J,$C16,MOVIMIENTOS!$B:$B,"&gt;="&amp;DATE(2026,6,1),MOVIMIENTOS!$B:$B,"&lt;"&amp;DATE(2026,7,1))</f>
        <v>3000</v>
      </c>
      <c r="I16" s="5" t="n">
        <f aca="false">SUMIFS(MOVIMIENTOS!$I:$I,MOVIMIENTOS!$D:$D,"Aporte",MOVIMIENTOS!$E:$E,"Anual",MOVIMIENTOS!$J:$J,$C16,MOVIMIENTOS!$B:$B,"&gt;="&amp;DATE(2026,7,1),MOVIMIENTOS!$B:$B,"&lt;"&amp;DATE(2026,8,1))</f>
        <v>3000</v>
      </c>
      <c r="J16" s="5" t="n">
        <f aca="false">SUMIFS(MOVIMIENTOS!$I:$I,MOVIMIENTOS!$D:$D,"Aporte",MOVIMIENTOS!$E:$E,"Anual",MOVIMIENTOS!$J:$J,$C16,MOVIMIENTOS!$B:$B,"&gt;="&amp;DATE(2026,8,1),MOVIMIENTOS!$B:$B,"&lt;"&amp;DATE(2026,9,1))</f>
        <v>3000</v>
      </c>
      <c r="K16" s="5" t="n">
        <f aca="false">SUMIFS(MOVIMIENTOS!$I:$I,MOVIMIENTOS!$D:$D,"Aporte",MOVIMIENTOS!$E:$E,"Anual",MOVIMIENTOS!$J:$J,$C16,MOVIMIENTOS!$B:$B,"&gt;="&amp;DATE(2026,9,1),MOVIMIENTOS!$B:$B,"&lt;"&amp;DATE(2026,10,1))</f>
        <v>0</v>
      </c>
      <c r="L16" s="5" t="n">
        <f aca="false">SUMIFS(MOVIMIENTOS!$I:$I,MOVIMIENTOS!$D:$D,"Aporte",MOVIMIENTOS!$E:$E,"Anual",MOVIMIENTOS!$J:$J,$C16,MOVIMIENTOS!$B:$B,"&gt;="&amp;DATE(2026,10,1),MOVIMIENTOS!$B:$B,"&lt;"&amp;DATE(2026,11,1))</f>
        <v>0</v>
      </c>
      <c r="M16" s="5" t="n">
        <f aca="false">SUMIFS(MOVIMIENTOS!$I:$I,MOVIMIENTOS!$D:$D,"Aporte",MOVIMIENTOS!$E:$E,"Anual",MOVIMIENTOS!$J:$J,$C16,MOVIMIENTOS!$B:$B,"&gt;="&amp;DATE(2026,11,1),MOVIMIENTOS!$B:$B,"&lt;"&amp;DATE(2026,12,1))</f>
        <v>0</v>
      </c>
      <c r="N16" s="5" t="n">
        <f aca="false">SUMIFS(MOVIMIENTOS!$I:$I,MOVIMIENTOS!$D:$D,"Aporte",MOVIMIENTOS!$E:$E,"Anual",MOVIMIENTOS!$J:$J,$C16,MOVIMIENTOS!$B:$B,"&gt;="&amp;DATE(2026,12,1),MOVIMIENTOS!$B:$B,"&lt;"&amp;DATE(2026,13,1))</f>
        <v>0</v>
      </c>
      <c r="O16" s="5" t="n">
        <f aca="false">SUM(E16:N16)</f>
        <v>18000</v>
      </c>
      <c r="P16" s="5" t="n">
        <f aca="false">SUMIFS(MOVIMIENTOS!$I:$I,MOVIMIENTOS!$D:$D,"Aporte",MOVIMIENTOS!$E:$E,"Extraordinaria",MOVIMIENTOS!$F:$F,P$4,MOVIMIENTOS!$J:$J,$C16)</f>
        <v>1000</v>
      </c>
      <c r="Q16" s="5" t="n">
        <f aca="false">SUMIFS(MOVIMIENTOS!$I:$I,MOVIMIENTOS!$D:$D,"Aporte",MOVIMIENTOS!$E:$E,"Extraordinaria",MOVIMIENTOS!$F:$F,Q$4,MOVIMIENTOS!$J:$J,$C16)</f>
        <v>2000</v>
      </c>
      <c r="R16" s="5" t="n">
        <f aca="false">SUMIFS(MOVIMIENTOS!$I:$I,MOVIMIENTOS!$D:$D,"Aporte",MOVIMIENTOS!$E:$E,"Extraordinaria",MOVIMIENTOS!$F:$F,R$4,MOVIMIENTOS!$J:$J,$C16)</f>
        <v>0</v>
      </c>
      <c r="S16" s="5" t="n">
        <f aca="false">SUMIFS(MOVIMIENTOS!$I:$I,MOVIMIENTOS!$D:$D,"Aporte",MOVIMIENTOS!$E:$E,"Extraordinaria",MOVIMIENTOS!$F:$F,S$4,MOVIMIENTOS!$J:$J,$C16)</f>
        <v>0</v>
      </c>
      <c r="T16" s="5" t="n">
        <f aca="false">SUMIFS(MOVIMIENTOS!$I:$I,MOVIMIENTOS!$D:$D,"Aporte",MOVIMIENTOS!$E:$E,"Extraordinaria",MOVIMIENTOS!$F:$F,T$4,MOVIMIENTOS!$J:$J,$C16)</f>
        <v>0</v>
      </c>
      <c r="U16" s="5" t="n">
        <f aca="false">SUMIFS(MOVIMIENTOS!$I:$I,MOVIMIENTOS!$D:$D,"Aporte",MOVIMIENTOS!$E:$E,"Extraordinaria",MOVIMIENTOS!$F:$F,U$4,MOVIMIENTOS!$J:$J,$C16)</f>
        <v>0</v>
      </c>
      <c r="V16" s="5" t="n">
        <f aca="false">SUMIFS(MOVIMIENTOS!$I:$I,MOVIMIENTOS!$D:$D,"Aporte",MOVIMIENTOS!$E:$E,"Extraordinaria",MOVIMIENTOS!$F:$F,V$4,MOVIMIENTOS!$J:$J,$C16)</f>
        <v>0</v>
      </c>
      <c r="W16" s="5" t="n">
        <f aca="false">SUM(P16:V16)</f>
        <v>3000</v>
      </c>
      <c r="X16" s="5" t="n">
        <f aca="false">O16+W16</f>
        <v>21000</v>
      </c>
      <c r="Y16" s="9"/>
    </row>
    <row r="17" customFormat="false" ht="15" hidden="false" customHeight="false" outlineLevel="0" collapsed="false">
      <c r="A17" s="9" t="n">
        <v>13</v>
      </c>
      <c r="B17" s="9" t="s">
        <v>116</v>
      </c>
      <c r="C17" s="9" t="s">
        <v>117</v>
      </c>
      <c r="D17" s="9" t="s">
        <v>118</v>
      </c>
      <c r="E17" s="5" t="n">
        <f aca="false">SUMIFS(MOVIMIENTOS!$I:$I,MOVIMIENTOS!$D:$D,"Aporte",MOVIMIENTOS!$E:$E,"Anual",MOVIMIENTOS!$J:$J,$C17,MOVIMIENTOS!$B:$B,"&gt;="&amp;DATE(2026,3,1),MOVIMIENTOS!$B:$B,"&lt;"&amp;DATE(2026,4,1))</f>
        <v>3000</v>
      </c>
      <c r="F17" s="5" t="n">
        <f aca="false">SUMIFS(MOVIMIENTOS!$I:$I,MOVIMIENTOS!$D:$D,"Aporte",MOVIMIENTOS!$E:$E,"Anual",MOVIMIENTOS!$J:$J,$C17,MOVIMIENTOS!$B:$B,"&gt;="&amp;DATE(2026,4,1),MOVIMIENTOS!$B:$B,"&lt;"&amp;DATE(2026,5,1))</f>
        <v>0</v>
      </c>
      <c r="G17" s="5" t="n">
        <f aca="false">SUMIFS(MOVIMIENTOS!$I:$I,MOVIMIENTOS!$D:$D,"Aporte",MOVIMIENTOS!$E:$E,"Anual",MOVIMIENTOS!$J:$J,$C17,MOVIMIENTOS!$B:$B,"&gt;="&amp;DATE(2026,5,1),MOVIMIENTOS!$B:$B,"&lt;"&amp;DATE(2026,6,1))</f>
        <v>0</v>
      </c>
      <c r="H17" s="5" t="n">
        <f aca="false">SUMIFS(MOVIMIENTOS!$I:$I,MOVIMIENTOS!$D:$D,"Aporte",MOVIMIENTOS!$E:$E,"Anual",MOVIMIENTOS!$J:$J,$C17,MOVIMIENTOS!$B:$B,"&gt;="&amp;DATE(2026,6,1),MOVIMIENTOS!$B:$B,"&lt;"&amp;DATE(2026,7,1))</f>
        <v>0</v>
      </c>
      <c r="I17" s="5" t="n">
        <f aca="false">SUMIFS(MOVIMIENTOS!$I:$I,MOVIMIENTOS!$D:$D,"Aporte",MOVIMIENTOS!$E:$E,"Anual",MOVIMIENTOS!$J:$J,$C17,MOVIMIENTOS!$B:$B,"&gt;="&amp;DATE(2026,7,1),MOVIMIENTOS!$B:$B,"&lt;"&amp;DATE(2026,8,1))</f>
        <v>0</v>
      </c>
      <c r="J17" s="5" t="n">
        <f aca="false">SUMIFS(MOVIMIENTOS!$I:$I,MOVIMIENTOS!$D:$D,"Aporte",MOVIMIENTOS!$E:$E,"Anual",MOVIMIENTOS!$J:$J,$C17,MOVIMIENTOS!$B:$B,"&gt;="&amp;DATE(2026,8,1),MOVIMIENTOS!$B:$B,"&lt;"&amp;DATE(2026,9,1))</f>
        <v>0</v>
      </c>
      <c r="K17" s="5" t="n">
        <f aca="false">SUMIFS(MOVIMIENTOS!$I:$I,MOVIMIENTOS!$D:$D,"Aporte",MOVIMIENTOS!$E:$E,"Anual",MOVIMIENTOS!$J:$J,$C17,MOVIMIENTOS!$B:$B,"&gt;="&amp;DATE(2026,9,1),MOVIMIENTOS!$B:$B,"&lt;"&amp;DATE(2026,10,1))</f>
        <v>0</v>
      </c>
      <c r="L17" s="5" t="n">
        <f aca="false">SUMIFS(MOVIMIENTOS!$I:$I,MOVIMIENTOS!$D:$D,"Aporte",MOVIMIENTOS!$E:$E,"Anual",MOVIMIENTOS!$J:$J,$C17,MOVIMIENTOS!$B:$B,"&gt;="&amp;DATE(2026,10,1),MOVIMIENTOS!$B:$B,"&lt;"&amp;DATE(2026,11,1))</f>
        <v>0</v>
      </c>
      <c r="M17" s="5" t="n">
        <f aca="false">SUMIFS(MOVIMIENTOS!$I:$I,MOVIMIENTOS!$D:$D,"Aporte",MOVIMIENTOS!$E:$E,"Anual",MOVIMIENTOS!$J:$J,$C17,MOVIMIENTOS!$B:$B,"&gt;="&amp;DATE(2026,11,1),MOVIMIENTOS!$B:$B,"&lt;"&amp;DATE(2026,12,1))</f>
        <v>0</v>
      </c>
      <c r="N17" s="5" t="n">
        <f aca="false">SUMIFS(MOVIMIENTOS!$I:$I,MOVIMIENTOS!$D:$D,"Aporte",MOVIMIENTOS!$E:$E,"Anual",MOVIMIENTOS!$J:$J,$C17,MOVIMIENTOS!$B:$B,"&gt;="&amp;DATE(2026,12,1),MOVIMIENTOS!$B:$B,"&lt;"&amp;DATE(2026,13,1))</f>
        <v>0</v>
      </c>
      <c r="O17" s="5" t="n">
        <f aca="false">SUM(E17:N17)</f>
        <v>3000</v>
      </c>
      <c r="P17" s="5" t="n">
        <f aca="false">SUMIFS(MOVIMIENTOS!$I:$I,MOVIMIENTOS!$D:$D,"Aporte",MOVIMIENTOS!$E:$E,"Extraordinaria",MOVIMIENTOS!$F:$F,P$4,MOVIMIENTOS!$J:$J,$C17)</f>
        <v>1000</v>
      </c>
      <c r="Q17" s="16" t="n">
        <f aca="false">SUMIFS(MOVIMIENTOS!$I:$I,MOVIMIENTOS!$D:$D,"Aporte",MOVIMIENTOS!$E:$E,"Extraordinaria",MOVIMIENTOS!$F:$F,Q$4,MOVIMIENTOS!$J:$J,$C17)</f>
        <v>2000</v>
      </c>
      <c r="R17" s="5" t="n">
        <f aca="false">SUMIFS(MOVIMIENTOS!$I:$I,MOVIMIENTOS!$D:$D,"Aporte",MOVIMIENTOS!$E:$E,"Extraordinaria",MOVIMIENTOS!$F:$F,R$4,MOVIMIENTOS!$J:$J,$C17)</f>
        <v>2000</v>
      </c>
      <c r="S17" s="5" t="n">
        <f aca="false">SUMIFS(MOVIMIENTOS!$I:$I,MOVIMIENTOS!$D:$D,"Aporte",MOVIMIENTOS!$E:$E,"Extraordinaria",MOVIMIENTOS!$F:$F,S$4,MOVIMIENTOS!$J:$J,$C17)</f>
        <v>0</v>
      </c>
      <c r="T17" s="5" t="n">
        <f aca="false">SUMIFS(MOVIMIENTOS!$I:$I,MOVIMIENTOS!$D:$D,"Aporte",MOVIMIENTOS!$E:$E,"Extraordinaria",MOVIMIENTOS!$F:$F,T$4,MOVIMIENTOS!$J:$J,$C17)</f>
        <v>0</v>
      </c>
      <c r="U17" s="5" t="n">
        <f aca="false">SUMIFS(MOVIMIENTOS!$I:$I,MOVIMIENTOS!$D:$D,"Aporte",MOVIMIENTOS!$E:$E,"Extraordinaria",MOVIMIENTOS!$F:$F,U$4,MOVIMIENTOS!$J:$J,$C17)</f>
        <v>0</v>
      </c>
      <c r="V17" s="5" t="n">
        <f aca="false">SUMIFS(MOVIMIENTOS!$I:$I,MOVIMIENTOS!$D:$D,"Aporte",MOVIMIENTOS!$E:$E,"Extraordinaria",MOVIMIENTOS!$F:$F,V$4,MOVIMIENTOS!$J:$J,$C17)</f>
        <v>0</v>
      </c>
      <c r="W17" s="5" t="n">
        <f aca="false">SUM(P17:V17)</f>
        <v>5000</v>
      </c>
      <c r="X17" s="5" t="n">
        <f aca="false">O17+W17</f>
        <v>8000</v>
      </c>
      <c r="Y17" s="9"/>
    </row>
    <row r="18" customFormat="false" ht="15" hidden="false" customHeight="false" outlineLevel="0" collapsed="false">
      <c r="A18" s="9" t="n">
        <v>14</v>
      </c>
      <c r="B18" s="9" t="s">
        <v>119</v>
      </c>
      <c r="C18" s="9" t="s">
        <v>120</v>
      </c>
      <c r="D18" s="9" t="s">
        <v>118</v>
      </c>
      <c r="E18" s="5" t="n">
        <f aca="false">SUMIFS(MOVIMIENTOS!$I:$I,MOVIMIENTOS!$D:$D,"Aporte",MOVIMIENTOS!$E:$E,"Anual",MOVIMIENTOS!$J:$J,$C18,MOVIMIENTOS!$B:$B,"&gt;="&amp;DATE(2026,3,1),MOVIMIENTOS!$B:$B,"&lt;"&amp;DATE(2026,4,1))</f>
        <v>3000</v>
      </c>
      <c r="F18" s="5" t="n">
        <f aca="false">SUMIFS(MOVIMIENTOS!$I:$I,MOVIMIENTOS!$D:$D,"Aporte",MOVIMIENTOS!$E:$E,"Anual",MOVIMIENTOS!$J:$J,$C18,MOVIMIENTOS!$B:$B,"&gt;="&amp;DATE(2026,4,1),MOVIMIENTOS!$B:$B,"&lt;"&amp;DATE(2026,5,1))</f>
        <v>0</v>
      </c>
      <c r="G18" s="5" t="n">
        <f aca="false">SUMIFS(MOVIMIENTOS!$I:$I,MOVIMIENTOS!$D:$D,"Aporte",MOVIMIENTOS!$E:$E,"Anual",MOVIMIENTOS!$J:$J,$C18,MOVIMIENTOS!$B:$B,"&gt;="&amp;DATE(2026,5,1),MOVIMIENTOS!$B:$B,"&lt;"&amp;DATE(2026,6,1))</f>
        <v>0</v>
      </c>
      <c r="H18" s="5" t="n">
        <f aca="false">SUMIFS(MOVIMIENTOS!$I:$I,MOVIMIENTOS!$D:$D,"Aporte",MOVIMIENTOS!$E:$E,"Anual",MOVIMIENTOS!$J:$J,$C18,MOVIMIENTOS!$B:$B,"&gt;="&amp;DATE(2026,6,1),MOVIMIENTOS!$B:$B,"&lt;"&amp;DATE(2026,7,1))</f>
        <v>0</v>
      </c>
      <c r="I18" s="5" t="n">
        <f aca="false">SUMIFS(MOVIMIENTOS!$I:$I,MOVIMIENTOS!$D:$D,"Aporte",MOVIMIENTOS!$E:$E,"Anual",MOVIMIENTOS!$J:$J,$C18,MOVIMIENTOS!$B:$B,"&gt;="&amp;DATE(2026,7,1),MOVIMIENTOS!$B:$B,"&lt;"&amp;DATE(2026,8,1))</f>
        <v>0</v>
      </c>
      <c r="J18" s="5" t="n">
        <f aca="false">SUMIFS(MOVIMIENTOS!$I:$I,MOVIMIENTOS!$D:$D,"Aporte",MOVIMIENTOS!$E:$E,"Anual",MOVIMIENTOS!$J:$J,$C18,MOVIMIENTOS!$B:$B,"&gt;="&amp;DATE(2026,8,1),MOVIMIENTOS!$B:$B,"&lt;"&amp;DATE(2026,9,1))</f>
        <v>0</v>
      </c>
      <c r="K18" s="5" t="n">
        <f aca="false">SUMIFS(MOVIMIENTOS!$I:$I,MOVIMIENTOS!$D:$D,"Aporte",MOVIMIENTOS!$E:$E,"Anual",MOVIMIENTOS!$J:$J,$C18,MOVIMIENTOS!$B:$B,"&gt;="&amp;DATE(2026,9,1),MOVIMIENTOS!$B:$B,"&lt;"&amp;DATE(2026,10,1))</f>
        <v>0</v>
      </c>
      <c r="L18" s="5" t="n">
        <f aca="false">SUMIFS(MOVIMIENTOS!$I:$I,MOVIMIENTOS!$D:$D,"Aporte",MOVIMIENTOS!$E:$E,"Anual",MOVIMIENTOS!$J:$J,$C18,MOVIMIENTOS!$B:$B,"&gt;="&amp;DATE(2026,10,1),MOVIMIENTOS!$B:$B,"&lt;"&amp;DATE(2026,11,1))</f>
        <v>0</v>
      </c>
      <c r="M18" s="5" t="n">
        <f aca="false">SUMIFS(MOVIMIENTOS!$I:$I,MOVIMIENTOS!$D:$D,"Aporte",MOVIMIENTOS!$E:$E,"Anual",MOVIMIENTOS!$J:$J,$C18,MOVIMIENTOS!$B:$B,"&gt;="&amp;DATE(2026,11,1),MOVIMIENTOS!$B:$B,"&lt;"&amp;DATE(2026,12,1))</f>
        <v>0</v>
      </c>
      <c r="N18" s="5" t="n">
        <f aca="false">SUMIFS(MOVIMIENTOS!$I:$I,MOVIMIENTOS!$D:$D,"Aporte",MOVIMIENTOS!$E:$E,"Anual",MOVIMIENTOS!$J:$J,$C18,MOVIMIENTOS!$B:$B,"&gt;="&amp;DATE(2026,12,1),MOVIMIENTOS!$B:$B,"&lt;"&amp;DATE(2026,13,1))</f>
        <v>0</v>
      </c>
      <c r="O18" s="5" t="n">
        <f aca="false">SUM(E18:N18)</f>
        <v>3000</v>
      </c>
      <c r="P18" s="5" t="n">
        <f aca="false">SUMIFS(MOVIMIENTOS!$I:$I,MOVIMIENTOS!$D:$D,"Aporte",MOVIMIENTOS!$E:$E,"Extraordinaria",MOVIMIENTOS!$F:$F,P$4,MOVIMIENTOS!$J:$J,$C18)</f>
        <v>1000</v>
      </c>
      <c r="Q18" s="16" t="n">
        <f aca="false">SUMIFS(MOVIMIENTOS!$I:$I,MOVIMIENTOS!$D:$D,"Aporte",MOVIMIENTOS!$E:$E,"Extraordinaria",MOVIMIENTOS!$F:$F,Q$4,MOVIMIENTOS!$J:$J,$C18)</f>
        <v>2000</v>
      </c>
      <c r="R18" s="5" t="n">
        <f aca="false">SUMIFS(MOVIMIENTOS!$I:$I,MOVIMIENTOS!$D:$D,"Aporte",MOVIMIENTOS!$E:$E,"Extraordinaria",MOVIMIENTOS!$F:$F,R$4,MOVIMIENTOS!$J:$J,$C18)</f>
        <v>2000</v>
      </c>
      <c r="S18" s="5" t="n">
        <f aca="false">SUMIFS(MOVIMIENTOS!$I:$I,MOVIMIENTOS!$D:$D,"Aporte",MOVIMIENTOS!$E:$E,"Extraordinaria",MOVIMIENTOS!$F:$F,S$4,MOVIMIENTOS!$J:$J,$C18)</f>
        <v>0</v>
      </c>
      <c r="T18" s="5" t="n">
        <f aca="false">SUMIFS(MOVIMIENTOS!$I:$I,MOVIMIENTOS!$D:$D,"Aporte",MOVIMIENTOS!$E:$E,"Extraordinaria",MOVIMIENTOS!$F:$F,T$4,MOVIMIENTOS!$J:$J,$C18)</f>
        <v>0</v>
      </c>
      <c r="U18" s="5" t="n">
        <f aca="false">SUMIFS(MOVIMIENTOS!$I:$I,MOVIMIENTOS!$D:$D,"Aporte",MOVIMIENTOS!$E:$E,"Extraordinaria",MOVIMIENTOS!$F:$F,U$4,MOVIMIENTOS!$J:$J,$C18)</f>
        <v>0</v>
      </c>
      <c r="V18" s="5" t="n">
        <f aca="false">SUMIFS(MOVIMIENTOS!$I:$I,MOVIMIENTOS!$D:$D,"Aporte",MOVIMIENTOS!$E:$E,"Extraordinaria",MOVIMIENTOS!$F:$F,V$4,MOVIMIENTOS!$J:$J,$C18)</f>
        <v>0</v>
      </c>
      <c r="W18" s="5" t="n">
        <f aca="false">SUM(P18:V18)</f>
        <v>5000</v>
      </c>
      <c r="X18" s="5" t="n">
        <f aca="false">O18+W18</f>
        <v>8000</v>
      </c>
      <c r="Y18" s="9"/>
    </row>
    <row r="19" customFormat="false" ht="15" hidden="false" customHeight="false" outlineLevel="0" collapsed="false">
      <c r="A19" s="9" t="n">
        <v>15</v>
      </c>
      <c r="B19" s="9" t="s">
        <v>121</v>
      </c>
      <c r="C19" s="9" t="s">
        <v>122</v>
      </c>
      <c r="D19" s="9" t="s">
        <v>123</v>
      </c>
      <c r="E19" s="5" t="n">
        <f aca="false">SUMIFS(MOVIMIENTOS!$I:$I,MOVIMIENTOS!$D:$D,"Aporte",MOVIMIENTOS!$E:$E,"Anual",MOVIMIENTOS!$J:$J,$C19,MOVIMIENTOS!$B:$B,"&gt;="&amp;DATE(2026,3,1),MOVIMIENTOS!$B:$B,"&lt;"&amp;DATE(2026,4,1))</f>
        <v>3000</v>
      </c>
      <c r="F19" s="5" t="n">
        <f aca="false">SUMIFS(MOVIMIENTOS!$I:$I,MOVIMIENTOS!$D:$D,"Aporte",MOVIMIENTOS!$E:$E,"Anual",MOVIMIENTOS!$J:$J,$C19,MOVIMIENTOS!$B:$B,"&gt;="&amp;DATE(2026,4,1),MOVIMIENTOS!$B:$B,"&lt;"&amp;DATE(2026,5,1))</f>
        <v>0</v>
      </c>
      <c r="G19" s="5" t="n">
        <f aca="false">SUMIFS(MOVIMIENTOS!$I:$I,MOVIMIENTOS!$D:$D,"Aporte",MOVIMIENTOS!$E:$E,"Anual",MOVIMIENTOS!$J:$J,$C19,MOVIMIENTOS!$B:$B,"&gt;="&amp;DATE(2026,5,1),MOVIMIENTOS!$B:$B,"&lt;"&amp;DATE(2026,6,1))</f>
        <v>0</v>
      </c>
      <c r="H19" s="5" t="n">
        <f aca="false">SUMIFS(MOVIMIENTOS!$I:$I,MOVIMIENTOS!$D:$D,"Aporte",MOVIMIENTOS!$E:$E,"Anual",MOVIMIENTOS!$J:$J,$C19,MOVIMIENTOS!$B:$B,"&gt;="&amp;DATE(2026,6,1),MOVIMIENTOS!$B:$B,"&lt;"&amp;DATE(2026,7,1))</f>
        <v>0</v>
      </c>
      <c r="I19" s="5" t="n">
        <f aca="false">SUMIFS(MOVIMIENTOS!$I:$I,MOVIMIENTOS!$D:$D,"Aporte",MOVIMIENTOS!$E:$E,"Anual",MOVIMIENTOS!$J:$J,$C19,MOVIMIENTOS!$B:$B,"&gt;="&amp;DATE(2026,7,1),MOVIMIENTOS!$B:$B,"&lt;"&amp;DATE(2026,8,1))</f>
        <v>0</v>
      </c>
      <c r="J19" s="5" t="n">
        <f aca="false">SUMIFS(MOVIMIENTOS!$I:$I,MOVIMIENTOS!$D:$D,"Aporte",MOVIMIENTOS!$E:$E,"Anual",MOVIMIENTOS!$J:$J,$C19,MOVIMIENTOS!$B:$B,"&gt;="&amp;DATE(2026,8,1),MOVIMIENTOS!$B:$B,"&lt;"&amp;DATE(2026,9,1))</f>
        <v>0</v>
      </c>
      <c r="K19" s="5" t="n">
        <f aca="false">SUMIFS(MOVIMIENTOS!$I:$I,MOVIMIENTOS!$D:$D,"Aporte",MOVIMIENTOS!$E:$E,"Anual",MOVIMIENTOS!$J:$J,$C19,MOVIMIENTOS!$B:$B,"&gt;="&amp;DATE(2026,9,1),MOVIMIENTOS!$B:$B,"&lt;"&amp;DATE(2026,10,1))</f>
        <v>0</v>
      </c>
      <c r="L19" s="5" t="n">
        <f aca="false">SUMIFS(MOVIMIENTOS!$I:$I,MOVIMIENTOS!$D:$D,"Aporte",MOVIMIENTOS!$E:$E,"Anual",MOVIMIENTOS!$J:$J,$C19,MOVIMIENTOS!$B:$B,"&gt;="&amp;DATE(2026,10,1),MOVIMIENTOS!$B:$B,"&lt;"&amp;DATE(2026,11,1))</f>
        <v>0</v>
      </c>
      <c r="M19" s="5" t="n">
        <f aca="false">SUMIFS(MOVIMIENTOS!$I:$I,MOVIMIENTOS!$D:$D,"Aporte",MOVIMIENTOS!$E:$E,"Anual",MOVIMIENTOS!$J:$J,$C19,MOVIMIENTOS!$B:$B,"&gt;="&amp;DATE(2026,11,1),MOVIMIENTOS!$B:$B,"&lt;"&amp;DATE(2026,12,1))</f>
        <v>0</v>
      </c>
      <c r="N19" s="5" t="n">
        <f aca="false">SUMIFS(MOVIMIENTOS!$I:$I,MOVIMIENTOS!$D:$D,"Aporte",MOVIMIENTOS!$E:$E,"Anual",MOVIMIENTOS!$J:$J,$C19,MOVIMIENTOS!$B:$B,"&gt;="&amp;DATE(2026,12,1),MOVIMIENTOS!$B:$B,"&lt;"&amp;DATE(2026,13,1))</f>
        <v>0</v>
      </c>
      <c r="O19" s="5" t="n">
        <f aca="false">SUM(E19:N19)</f>
        <v>3000</v>
      </c>
      <c r="P19" s="5" t="n">
        <f aca="false">SUMIFS(MOVIMIENTOS!$I:$I,MOVIMIENTOS!$D:$D,"Aporte",MOVIMIENTOS!$E:$E,"Extraordinaria",MOVIMIENTOS!$F:$F,P$4,MOVIMIENTOS!$J:$J,$C19)</f>
        <v>1000</v>
      </c>
      <c r="Q19" s="16" t="n">
        <f aca="false">SUMIFS(MOVIMIENTOS!$I:$I,MOVIMIENTOS!$D:$D,"Aporte",MOVIMIENTOS!$E:$E,"Extraordinaria",MOVIMIENTOS!$F:$F,Q$4,MOVIMIENTOS!$J:$J,$C19)</f>
        <v>2000</v>
      </c>
      <c r="R19" s="5" t="n">
        <f aca="false">SUMIFS(MOVIMIENTOS!$I:$I,MOVIMIENTOS!$D:$D,"Aporte",MOVIMIENTOS!$E:$E,"Extraordinaria",MOVIMIENTOS!$F:$F,R$4,MOVIMIENTOS!$J:$J,$C19)</f>
        <v>2000</v>
      </c>
      <c r="S19" s="5" t="n">
        <f aca="false">SUMIFS(MOVIMIENTOS!$I:$I,MOVIMIENTOS!$D:$D,"Aporte",MOVIMIENTOS!$E:$E,"Extraordinaria",MOVIMIENTOS!$F:$F,S$4,MOVIMIENTOS!$J:$J,$C19)</f>
        <v>0</v>
      </c>
      <c r="T19" s="5" t="n">
        <f aca="false">SUMIFS(MOVIMIENTOS!$I:$I,MOVIMIENTOS!$D:$D,"Aporte",MOVIMIENTOS!$E:$E,"Extraordinaria",MOVIMIENTOS!$F:$F,T$4,MOVIMIENTOS!$J:$J,$C19)</f>
        <v>0</v>
      </c>
      <c r="U19" s="5" t="n">
        <f aca="false">SUMIFS(MOVIMIENTOS!$I:$I,MOVIMIENTOS!$D:$D,"Aporte",MOVIMIENTOS!$E:$E,"Extraordinaria",MOVIMIENTOS!$F:$F,U$4,MOVIMIENTOS!$J:$J,$C19)</f>
        <v>0</v>
      </c>
      <c r="V19" s="5" t="n">
        <f aca="false">SUMIFS(MOVIMIENTOS!$I:$I,MOVIMIENTOS!$D:$D,"Aporte",MOVIMIENTOS!$E:$E,"Extraordinaria",MOVIMIENTOS!$F:$F,V$4,MOVIMIENTOS!$J:$J,$C19)</f>
        <v>0</v>
      </c>
      <c r="W19" s="5" t="n">
        <f aca="false">SUM(P19:V19)</f>
        <v>5000</v>
      </c>
      <c r="X19" s="5" t="n">
        <f aca="false">O19+W19</f>
        <v>8000</v>
      </c>
      <c r="Y19" s="9"/>
    </row>
    <row r="20" customFormat="false" ht="15" hidden="false" customHeight="false" outlineLevel="0" collapsed="false">
      <c r="A20" s="9" t="n">
        <v>16</v>
      </c>
      <c r="B20" s="9" t="s">
        <v>124</v>
      </c>
      <c r="C20" s="9" t="s">
        <v>125</v>
      </c>
      <c r="D20" s="9"/>
      <c r="E20" s="5" t="n">
        <f aca="false">SUMIFS(MOVIMIENTOS!$I:$I,MOVIMIENTOS!$D:$D,"Aporte",MOVIMIENTOS!$E:$E,"Anual",MOVIMIENTOS!$J:$J,$C20,MOVIMIENTOS!$B:$B,"&gt;="&amp;DATE(2026,3,1),MOVIMIENTOS!$B:$B,"&lt;"&amp;DATE(2026,4,1))</f>
        <v>0</v>
      </c>
      <c r="F20" s="5" t="n">
        <f aca="false">SUMIFS(MOVIMIENTOS!$I:$I,MOVIMIENTOS!$D:$D,"Aporte",MOVIMIENTOS!$E:$E,"Anual",MOVIMIENTOS!$J:$J,$C20,MOVIMIENTOS!$B:$B,"&gt;="&amp;DATE(2026,4,1),MOVIMIENTOS!$B:$B,"&lt;"&amp;DATE(2026,5,1))</f>
        <v>0</v>
      </c>
      <c r="G20" s="5" t="n">
        <f aca="false">SUMIFS(MOVIMIENTOS!$I:$I,MOVIMIENTOS!$D:$D,"Aporte",MOVIMIENTOS!$E:$E,"Anual",MOVIMIENTOS!$J:$J,$C20,MOVIMIENTOS!$B:$B,"&gt;="&amp;DATE(2026,5,1),MOVIMIENTOS!$B:$B,"&lt;"&amp;DATE(2026,6,1))</f>
        <v>0</v>
      </c>
      <c r="H20" s="5" t="n">
        <f aca="false">SUMIFS(MOVIMIENTOS!$I:$I,MOVIMIENTOS!$D:$D,"Aporte",MOVIMIENTOS!$E:$E,"Anual",MOVIMIENTOS!$J:$J,$C20,MOVIMIENTOS!$B:$B,"&gt;="&amp;DATE(2026,6,1),MOVIMIENTOS!$B:$B,"&lt;"&amp;DATE(2026,7,1))</f>
        <v>0</v>
      </c>
      <c r="I20" s="5" t="n">
        <f aca="false">SUMIFS(MOVIMIENTOS!$I:$I,MOVIMIENTOS!$D:$D,"Aporte",MOVIMIENTOS!$E:$E,"Anual",MOVIMIENTOS!$J:$J,$C20,MOVIMIENTOS!$B:$B,"&gt;="&amp;DATE(2026,7,1),MOVIMIENTOS!$B:$B,"&lt;"&amp;DATE(2026,8,1))</f>
        <v>0</v>
      </c>
      <c r="J20" s="5" t="n">
        <f aca="false">SUMIFS(MOVIMIENTOS!$I:$I,MOVIMIENTOS!$D:$D,"Aporte",MOVIMIENTOS!$E:$E,"Anual",MOVIMIENTOS!$J:$J,$C20,MOVIMIENTOS!$B:$B,"&gt;="&amp;DATE(2026,8,1),MOVIMIENTOS!$B:$B,"&lt;"&amp;DATE(2026,9,1))</f>
        <v>0</v>
      </c>
      <c r="K20" s="5" t="n">
        <f aca="false">SUMIFS(MOVIMIENTOS!$I:$I,MOVIMIENTOS!$D:$D,"Aporte",MOVIMIENTOS!$E:$E,"Anual",MOVIMIENTOS!$J:$J,$C20,MOVIMIENTOS!$B:$B,"&gt;="&amp;DATE(2026,9,1),MOVIMIENTOS!$B:$B,"&lt;"&amp;DATE(2026,10,1))</f>
        <v>0</v>
      </c>
      <c r="L20" s="5" t="n">
        <f aca="false">SUMIFS(MOVIMIENTOS!$I:$I,MOVIMIENTOS!$D:$D,"Aporte",MOVIMIENTOS!$E:$E,"Anual",MOVIMIENTOS!$J:$J,$C20,MOVIMIENTOS!$B:$B,"&gt;="&amp;DATE(2026,10,1),MOVIMIENTOS!$B:$B,"&lt;"&amp;DATE(2026,11,1))</f>
        <v>0</v>
      </c>
      <c r="M20" s="5" t="n">
        <f aca="false">SUMIFS(MOVIMIENTOS!$I:$I,MOVIMIENTOS!$D:$D,"Aporte",MOVIMIENTOS!$E:$E,"Anual",MOVIMIENTOS!$J:$J,$C20,MOVIMIENTOS!$B:$B,"&gt;="&amp;DATE(2026,11,1),MOVIMIENTOS!$B:$B,"&lt;"&amp;DATE(2026,12,1))</f>
        <v>0</v>
      </c>
      <c r="N20" s="5" t="n">
        <f aca="false">SUMIFS(MOVIMIENTOS!$I:$I,MOVIMIENTOS!$D:$D,"Aporte",MOVIMIENTOS!$E:$E,"Anual",MOVIMIENTOS!$J:$J,$C20,MOVIMIENTOS!$B:$B,"&gt;="&amp;DATE(2026,12,1),MOVIMIENTOS!$B:$B,"&lt;"&amp;DATE(2026,13,1))</f>
        <v>0</v>
      </c>
      <c r="O20" s="5" t="n">
        <f aca="false">SUM(E20:N20)</f>
        <v>0</v>
      </c>
      <c r="P20" s="16" t="n">
        <f aca="false">SUMIFS(MOVIMIENTOS!$I:$I,MOVIMIENTOS!$D:$D,"Aporte",MOVIMIENTOS!$E:$E,"Extraordinaria",MOVIMIENTOS!$F:$F,P$4,MOVIMIENTOS!$J:$J,$C20)</f>
        <v>1000</v>
      </c>
      <c r="Q20" s="16" t="n">
        <f aca="false">SUMIFS(MOVIMIENTOS!$I:$I,MOVIMIENTOS!$D:$D,"Aporte",MOVIMIENTOS!$E:$E,"Extraordinaria",MOVIMIENTOS!$F:$F,Q$4,MOVIMIENTOS!$J:$J,$C20)</f>
        <v>2000</v>
      </c>
      <c r="R20" s="5" t="n">
        <f aca="false">SUMIFS(MOVIMIENTOS!$I:$I,MOVIMIENTOS!$D:$D,"Aporte",MOVIMIENTOS!$E:$E,"Extraordinaria",MOVIMIENTOS!$F:$F,R$4,MOVIMIENTOS!$J:$J,$C20)</f>
        <v>2000</v>
      </c>
      <c r="S20" s="5" t="n">
        <f aca="false">SUMIFS(MOVIMIENTOS!$I:$I,MOVIMIENTOS!$D:$D,"Aporte",MOVIMIENTOS!$E:$E,"Extraordinaria",MOVIMIENTOS!$F:$F,S$4,MOVIMIENTOS!$J:$J,$C20)</f>
        <v>0</v>
      </c>
      <c r="T20" s="5" t="n">
        <f aca="false">SUMIFS(MOVIMIENTOS!$I:$I,MOVIMIENTOS!$D:$D,"Aporte",MOVIMIENTOS!$E:$E,"Extraordinaria",MOVIMIENTOS!$F:$F,T$4,MOVIMIENTOS!$J:$J,$C20)</f>
        <v>0</v>
      </c>
      <c r="U20" s="5" t="n">
        <f aca="false">SUMIFS(MOVIMIENTOS!$I:$I,MOVIMIENTOS!$D:$D,"Aporte",MOVIMIENTOS!$E:$E,"Extraordinaria",MOVIMIENTOS!$F:$F,U$4,MOVIMIENTOS!$J:$J,$C20)</f>
        <v>0</v>
      </c>
      <c r="V20" s="5" t="n">
        <f aca="false">SUMIFS(MOVIMIENTOS!$I:$I,MOVIMIENTOS!$D:$D,"Aporte",MOVIMIENTOS!$E:$E,"Extraordinaria",MOVIMIENTOS!$F:$F,V$4,MOVIMIENTOS!$J:$J,$C20)</f>
        <v>0</v>
      </c>
      <c r="W20" s="5" t="n">
        <f aca="false">SUM(P20:V20)</f>
        <v>5000</v>
      </c>
      <c r="X20" s="5" t="n">
        <f aca="false">O20+W20</f>
        <v>5000</v>
      </c>
      <c r="Y20" s="9"/>
    </row>
    <row r="21" customFormat="false" ht="15" hidden="false" customHeight="false" outlineLevel="0" collapsed="false">
      <c r="A21" s="9" t="n">
        <v>17</v>
      </c>
      <c r="B21" s="9" t="s">
        <v>126</v>
      </c>
      <c r="C21" s="9" t="s">
        <v>127</v>
      </c>
      <c r="D21" s="9" t="s">
        <v>128</v>
      </c>
      <c r="E21" s="5" t="n">
        <f aca="false">SUMIFS(MOVIMIENTOS!$I:$I,MOVIMIENTOS!$D:$D,"Aporte",MOVIMIENTOS!$E:$E,"Anual",MOVIMIENTOS!$J:$J,$C21,MOVIMIENTOS!$B:$B,"&gt;="&amp;DATE(2026,3,1),MOVIMIENTOS!$B:$B,"&lt;"&amp;DATE(2026,4,1))</f>
        <v>3000</v>
      </c>
      <c r="F21" s="5" t="n">
        <f aca="false">SUMIFS(MOVIMIENTOS!$I:$I,MOVIMIENTOS!$D:$D,"Aporte",MOVIMIENTOS!$E:$E,"Anual",MOVIMIENTOS!$J:$J,$C21,MOVIMIENTOS!$B:$B,"&gt;="&amp;DATE(2026,4,1),MOVIMIENTOS!$B:$B,"&lt;"&amp;DATE(2026,5,1))</f>
        <v>3000</v>
      </c>
      <c r="G21" s="5" t="n">
        <f aca="false">SUMIFS(MOVIMIENTOS!$I:$I,MOVIMIENTOS!$D:$D,"Aporte",MOVIMIENTOS!$E:$E,"Anual",MOVIMIENTOS!$J:$J,$C21,MOVIMIENTOS!$B:$B,"&gt;="&amp;DATE(2026,5,1),MOVIMIENTOS!$B:$B,"&lt;"&amp;DATE(2026,6,1))</f>
        <v>3000</v>
      </c>
      <c r="H21" s="5" t="n">
        <f aca="false">SUMIFS(MOVIMIENTOS!$I:$I,MOVIMIENTOS!$D:$D,"Aporte",MOVIMIENTOS!$E:$E,"Anual",MOVIMIENTOS!$J:$J,$C21,MOVIMIENTOS!$B:$B,"&gt;="&amp;DATE(2026,6,1),MOVIMIENTOS!$B:$B,"&lt;"&amp;DATE(2026,7,1))</f>
        <v>3000</v>
      </c>
      <c r="I21" s="5" t="n">
        <f aca="false">SUMIFS(MOVIMIENTOS!$I:$I,MOVIMIENTOS!$D:$D,"Aporte",MOVIMIENTOS!$E:$E,"Anual",MOVIMIENTOS!$J:$J,$C21,MOVIMIENTOS!$B:$B,"&gt;="&amp;DATE(2026,7,1),MOVIMIENTOS!$B:$B,"&lt;"&amp;DATE(2026,8,1))</f>
        <v>3000</v>
      </c>
      <c r="J21" s="5" t="n">
        <f aca="false">SUMIFS(MOVIMIENTOS!$I:$I,MOVIMIENTOS!$D:$D,"Aporte",MOVIMIENTOS!$E:$E,"Anual",MOVIMIENTOS!$J:$J,$C21,MOVIMIENTOS!$B:$B,"&gt;="&amp;DATE(2026,8,1),MOVIMIENTOS!$B:$B,"&lt;"&amp;DATE(2026,9,1))</f>
        <v>0</v>
      </c>
      <c r="K21" s="5" t="n">
        <f aca="false">SUMIFS(MOVIMIENTOS!$I:$I,MOVIMIENTOS!$D:$D,"Aporte",MOVIMIENTOS!$E:$E,"Anual",MOVIMIENTOS!$J:$J,$C21,MOVIMIENTOS!$B:$B,"&gt;="&amp;DATE(2026,9,1),MOVIMIENTOS!$B:$B,"&lt;"&amp;DATE(2026,10,1))</f>
        <v>0</v>
      </c>
      <c r="L21" s="5" t="n">
        <f aca="false">SUMIFS(MOVIMIENTOS!$I:$I,MOVIMIENTOS!$D:$D,"Aporte",MOVIMIENTOS!$E:$E,"Anual",MOVIMIENTOS!$J:$J,$C21,MOVIMIENTOS!$B:$B,"&gt;="&amp;DATE(2026,10,1),MOVIMIENTOS!$B:$B,"&lt;"&amp;DATE(2026,11,1))</f>
        <v>0</v>
      </c>
      <c r="M21" s="5" t="n">
        <f aca="false">SUMIFS(MOVIMIENTOS!$I:$I,MOVIMIENTOS!$D:$D,"Aporte",MOVIMIENTOS!$E:$E,"Anual",MOVIMIENTOS!$J:$J,$C21,MOVIMIENTOS!$B:$B,"&gt;="&amp;DATE(2026,11,1),MOVIMIENTOS!$B:$B,"&lt;"&amp;DATE(2026,12,1))</f>
        <v>0</v>
      </c>
      <c r="N21" s="5" t="n">
        <f aca="false">SUMIFS(MOVIMIENTOS!$I:$I,MOVIMIENTOS!$D:$D,"Aporte",MOVIMIENTOS!$E:$E,"Anual",MOVIMIENTOS!$J:$J,$C21,MOVIMIENTOS!$B:$B,"&gt;="&amp;DATE(2026,12,1),MOVIMIENTOS!$B:$B,"&lt;"&amp;DATE(2026,13,1))</f>
        <v>0</v>
      </c>
      <c r="O21" s="5" t="n">
        <f aca="false">SUM(E21:N21)</f>
        <v>15000</v>
      </c>
      <c r="P21" s="16" t="n">
        <f aca="false">SUMIFS(MOVIMIENTOS!$I:$I,MOVIMIENTOS!$D:$D,"Aporte",MOVIMIENTOS!$E:$E,"Extraordinaria",MOVIMIENTOS!$F:$F,P$4,MOVIMIENTOS!$J:$J,$C21)</f>
        <v>1000</v>
      </c>
      <c r="Q21" s="16" t="n">
        <f aca="false">SUMIFS(MOVIMIENTOS!$I:$I,MOVIMIENTOS!$D:$D,"Aporte",MOVIMIENTOS!$E:$E,"Extraordinaria",MOVIMIENTOS!$F:$F,Q$4,MOVIMIENTOS!$J:$J,$C21)</f>
        <v>2000</v>
      </c>
      <c r="R21" s="5" t="n">
        <f aca="false">SUMIFS(MOVIMIENTOS!$I:$I,MOVIMIENTOS!$D:$D,"Aporte",MOVIMIENTOS!$E:$E,"Extraordinaria",MOVIMIENTOS!$F:$F,R$4,MOVIMIENTOS!$J:$J,$C21)</f>
        <v>2000</v>
      </c>
      <c r="S21" s="5" t="n">
        <f aca="false">SUMIFS(MOVIMIENTOS!$I:$I,MOVIMIENTOS!$D:$D,"Aporte",MOVIMIENTOS!$E:$E,"Extraordinaria",MOVIMIENTOS!$F:$F,S$4,MOVIMIENTOS!$J:$J,$C21)</f>
        <v>0</v>
      </c>
      <c r="T21" s="5" t="n">
        <f aca="false">SUMIFS(MOVIMIENTOS!$I:$I,MOVIMIENTOS!$D:$D,"Aporte",MOVIMIENTOS!$E:$E,"Extraordinaria",MOVIMIENTOS!$F:$F,T$4,MOVIMIENTOS!$J:$J,$C21)</f>
        <v>0</v>
      </c>
      <c r="U21" s="5" t="n">
        <f aca="false">SUMIFS(MOVIMIENTOS!$I:$I,MOVIMIENTOS!$D:$D,"Aporte",MOVIMIENTOS!$E:$E,"Extraordinaria",MOVIMIENTOS!$F:$F,U$4,MOVIMIENTOS!$J:$J,$C21)</f>
        <v>0</v>
      </c>
      <c r="V21" s="5" t="n">
        <f aca="false">SUMIFS(MOVIMIENTOS!$I:$I,MOVIMIENTOS!$D:$D,"Aporte",MOVIMIENTOS!$E:$E,"Extraordinaria",MOVIMIENTOS!$F:$F,V$4,MOVIMIENTOS!$J:$J,$C21)</f>
        <v>0</v>
      </c>
      <c r="W21" s="5" t="n">
        <f aca="false">SUM(P21:V21)</f>
        <v>5000</v>
      </c>
      <c r="X21" s="5" t="n">
        <f aca="false">O21+W21</f>
        <v>20000</v>
      </c>
      <c r="Y21" s="9"/>
    </row>
    <row r="22" customFormat="false" ht="15" hidden="false" customHeight="false" outlineLevel="0" collapsed="false">
      <c r="A22" s="9" t="n">
        <v>18</v>
      </c>
      <c r="B22" s="9" t="s">
        <v>129</v>
      </c>
      <c r="C22" s="9" t="s">
        <v>130</v>
      </c>
      <c r="D22" s="9" t="s">
        <v>131</v>
      </c>
      <c r="E22" s="5" t="n">
        <f aca="false">SUMIFS(MOVIMIENTOS!$I:$I,MOVIMIENTOS!$D:$D,"Aporte",MOVIMIENTOS!$E:$E,"Anual",MOVIMIENTOS!$J:$J,$C22,MOVIMIENTOS!$B:$B,"&gt;="&amp;DATE(2026,3,1),MOVIMIENTOS!$B:$B,"&lt;"&amp;DATE(2026,4,1))</f>
        <v>3000</v>
      </c>
      <c r="F22" s="5" t="n">
        <f aca="false">SUMIFS(MOVIMIENTOS!$I:$I,MOVIMIENTOS!$D:$D,"Aporte",MOVIMIENTOS!$E:$E,"Anual",MOVIMIENTOS!$J:$J,$C22,MOVIMIENTOS!$B:$B,"&gt;="&amp;DATE(2026,4,1),MOVIMIENTOS!$B:$B,"&lt;"&amp;DATE(2026,5,1))</f>
        <v>0</v>
      </c>
      <c r="G22" s="5" t="n">
        <f aca="false">SUMIFS(MOVIMIENTOS!$I:$I,MOVIMIENTOS!$D:$D,"Aporte",MOVIMIENTOS!$E:$E,"Anual",MOVIMIENTOS!$J:$J,$C22,MOVIMIENTOS!$B:$B,"&gt;="&amp;DATE(2026,5,1),MOVIMIENTOS!$B:$B,"&lt;"&amp;DATE(2026,6,1))</f>
        <v>0</v>
      </c>
      <c r="H22" s="5" t="n">
        <f aca="false">SUMIFS(MOVIMIENTOS!$I:$I,MOVIMIENTOS!$D:$D,"Aporte",MOVIMIENTOS!$E:$E,"Anual",MOVIMIENTOS!$J:$J,$C22,MOVIMIENTOS!$B:$B,"&gt;="&amp;DATE(2026,6,1),MOVIMIENTOS!$B:$B,"&lt;"&amp;DATE(2026,7,1))</f>
        <v>0</v>
      </c>
      <c r="I22" s="5" t="n">
        <f aca="false">SUMIFS(MOVIMIENTOS!$I:$I,MOVIMIENTOS!$D:$D,"Aporte",MOVIMIENTOS!$E:$E,"Anual",MOVIMIENTOS!$J:$J,$C22,MOVIMIENTOS!$B:$B,"&gt;="&amp;DATE(2026,7,1),MOVIMIENTOS!$B:$B,"&lt;"&amp;DATE(2026,8,1))</f>
        <v>0</v>
      </c>
      <c r="J22" s="5" t="n">
        <f aca="false">SUMIFS(MOVIMIENTOS!$I:$I,MOVIMIENTOS!$D:$D,"Aporte",MOVIMIENTOS!$E:$E,"Anual",MOVIMIENTOS!$J:$J,$C22,MOVIMIENTOS!$B:$B,"&gt;="&amp;DATE(2026,8,1),MOVIMIENTOS!$B:$B,"&lt;"&amp;DATE(2026,9,1))</f>
        <v>0</v>
      </c>
      <c r="K22" s="5" t="n">
        <f aca="false">SUMIFS(MOVIMIENTOS!$I:$I,MOVIMIENTOS!$D:$D,"Aporte",MOVIMIENTOS!$E:$E,"Anual",MOVIMIENTOS!$J:$J,$C22,MOVIMIENTOS!$B:$B,"&gt;="&amp;DATE(2026,9,1),MOVIMIENTOS!$B:$B,"&lt;"&amp;DATE(2026,10,1))</f>
        <v>0</v>
      </c>
      <c r="L22" s="5" t="n">
        <f aca="false">SUMIFS(MOVIMIENTOS!$I:$I,MOVIMIENTOS!$D:$D,"Aporte",MOVIMIENTOS!$E:$E,"Anual",MOVIMIENTOS!$J:$J,$C22,MOVIMIENTOS!$B:$B,"&gt;="&amp;DATE(2026,10,1),MOVIMIENTOS!$B:$B,"&lt;"&amp;DATE(2026,11,1))</f>
        <v>0</v>
      </c>
      <c r="M22" s="5" t="n">
        <f aca="false">SUMIFS(MOVIMIENTOS!$I:$I,MOVIMIENTOS!$D:$D,"Aporte",MOVIMIENTOS!$E:$E,"Anual",MOVIMIENTOS!$J:$J,$C22,MOVIMIENTOS!$B:$B,"&gt;="&amp;DATE(2026,11,1),MOVIMIENTOS!$B:$B,"&lt;"&amp;DATE(2026,12,1))</f>
        <v>0</v>
      </c>
      <c r="N22" s="5" t="n">
        <f aca="false">SUMIFS(MOVIMIENTOS!$I:$I,MOVIMIENTOS!$D:$D,"Aporte",MOVIMIENTOS!$E:$E,"Anual",MOVIMIENTOS!$J:$J,$C22,MOVIMIENTOS!$B:$B,"&gt;="&amp;DATE(2026,12,1),MOVIMIENTOS!$B:$B,"&lt;"&amp;DATE(2026,13,1))</f>
        <v>0</v>
      </c>
      <c r="O22" s="5" t="n">
        <f aca="false">SUM(E22:N22)</f>
        <v>3000</v>
      </c>
      <c r="P22" s="5" t="n">
        <f aca="false">SUMIFS(MOVIMIENTOS!$I:$I,MOVIMIENTOS!$D:$D,"Aporte",MOVIMIENTOS!$E:$E,"Extraordinaria",MOVIMIENTOS!$F:$F,P$4,MOVIMIENTOS!$J:$J,$C22)</f>
        <v>1000</v>
      </c>
      <c r="Q22" s="5" t="n">
        <f aca="false">SUMIFS(MOVIMIENTOS!$I:$I,MOVIMIENTOS!$D:$D,"Aporte",MOVIMIENTOS!$E:$E,"Extraordinaria",MOVIMIENTOS!$F:$F,Q$4,MOVIMIENTOS!$J:$J,$C22)</f>
        <v>2000</v>
      </c>
      <c r="R22" s="5" t="n">
        <f aca="false">SUMIFS(MOVIMIENTOS!$I:$I,MOVIMIENTOS!$D:$D,"Aporte",MOVIMIENTOS!$E:$E,"Extraordinaria",MOVIMIENTOS!$F:$F,R$4,MOVIMIENTOS!$J:$J,$C22)</f>
        <v>2000</v>
      </c>
      <c r="S22" s="5" t="n">
        <f aca="false">SUMIFS(MOVIMIENTOS!$I:$I,MOVIMIENTOS!$D:$D,"Aporte",MOVIMIENTOS!$E:$E,"Extraordinaria",MOVIMIENTOS!$F:$F,S$4,MOVIMIENTOS!$J:$J,$C22)</f>
        <v>0</v>
      </c>
      <c r="T22" s="5" t="n">
        <f aca="false">SUMIFS(MOVIMIENTOS!$I:$I,MOVIMIENTOS!$D:$D,"Aporte",MOVIMIENTOS!$E:$E,"Extraordinaria",MOVIMIENTOS!$F:$F,T$4,MOVIMIENTOS!$J:$J,$C22)</f>
        <v>0</v>
      </c>
      <c r="U22" s="5" t="n">
        <f aca="false">SUMIFS(MOVIMIENTOS!$I:$I,MOVIMIENTOS!$D:$D,"Aporte",MOVIMIENTOS!$E:$E,"Extraordinaria",MOVIMIENTOS!$F:$F,U$4,MOVIMIENTOS!$J:$J,$C22)</f>
        <v>1000</v>
      </c>
      <c r="V22" s="5" t="n">
        <f aca="false">SUMIFS(MOVIMIENTOS!$I:$I,MOVIMIENTOS!$D:$D,"Aporte",MOVIMIENTOS!$E:$E,"Extraordinaria",MOVIMIENTOS!$F:$F,V$4,MOVIMIENTOS!$J:$J,$C22)</f>
        <v>0</v>
      </c>
      <c r="W22" s="5" t="n">
        <f aca="false">SUM(P22:V22)</f>
        <v>6000</v>
      </c>
      <c r="X22" s="5" t="n">
        <f aca="false">O22+W22</f>
        <v>9000</v>
      </c>
      <c r="Y22" s="9"/>
    </row>
    <row r="23" customFormat="false" ht="15" hidden="false" customHeight="false" outlineLevel="0" collapsed="false">
      <c r="A23" s="9" t="n">
        <v>19</v>
      </c>
      <c r="B23" s="9" t="s">
        <v>132</v>
      </c>
      <c r="C23" s="9" t="s">
        <v>133</v>
      </c>
      <c r="D23" s="9" t="s">
        <v>134</v>
      </c>
      <c r="E23" s="5" t="n">
        <f aca="false">SUMIFS(MOVIMIENTOS!$I:$I,MOVIMIENTOS!$D:$D,"Aporte",MOVIMIENTOS!$E:$E,"Anual",MOVIMIENTOS!$J:$J,$C23,MOVIMIENTOS!$B:$B,"&gt;="&amp;DATE(2026,3,1),MOVIMIENTOS!$B:$B,"&lt;"&amp;DATE(2026,4,1))</f>
        <v>3000</v>
      </c>
      <c r="F23" s="5" t="n">
        <f aca="false">SUMIFS(MOVIMIENTOS!$I:$I,MOVIMIENTOS!$D:$D,"Aporte",MOVIMIENTOS!$E:$E,"Anual",MOVIMIENTOS!$J:$J,$C23,MOVIMIENTOS!$B:$B,"&gt;="&amp;DATE(2026,4,1),MOVIMIENTOS!$B:$B,"&lt;"&amp;DATE(2026,5,1))</f>
        <v>0</v>
      </c>
      <c r="G23" s="5" t="n">
        <f aca="false">SUMIFS(MOVIMIENTOS!$I:$I,MOVIMIENTOS!$D:$D,"Aporte",MOVIMIENTOS!$E:$E,"Anual",MOVIMIENTOS!$J:$J,$C23,MOVIMIENTOS!$B:$B,"&gt;="&amp;DATE(2026,5,1),MOVIMIENTOS!$B:$B,"&lt;"&amp;DATE(2026,6,1))</f>
        <v>0</v>
      </c>
      <c r="H23" s="5" t="n">
        <f aca="false">SUMIFS(MOVIMIENTOS!$I:$I,MOVIMIENTOS!$D:$D,"Aporte",MOVIMIENTOS!$E:$E,"Anual",MOVIMIENTOS!$J:$J,$C23,MOVIMIENTOS!$B:$B,"&gt;="&amp;DATE(2026,6,1),MOVIMIENTOS!$B:$B,"&lt;"&amp;DATE(2026,7,1))</f>
        <v>0</v>
      </c>
      <c r="I23" s="5" t="n">
        <f aca="false">SUMIFS(MOVIMIENTOS!$I:$I,MOVIMIENTOS!$D:$D,"Aporte",MOVIMIENTOS!$E:$E,"Anual",MOVIMIENTOS!$J:$J,$C23,MOVIMIENTOS!$B:$B,"&gt;="&amp;DATE(2026,7,1),MOVIMIENTOS!$B:$B,"&lt;"&amp;DATE(2026,8,1))</f>
        <v>0</v>
      </c>
      <c r="J23" s="5" t="n">
        <f aca="false">SUMIFS(MOVIMIENTOS!$I:$I,MOVIMIENTOS!$D:$D,"Aporte",MOVIMIENTOS!$E:$E,"Anual",MOVIMIENTOS!$J:$J,$C23,MOVIMIENTOS!$B:$B,"&gt;="&amp;DATE(2026,8,1),MOVIMIENTOS!$B:$B,"&lt;"&amp;DATE(2026,9,1))</f>
        <v>0</v>
      </c>
      <c r="K23" s="5" t="n">
        <f aca="false">SUMIFS(MOVIMIENTOS!$I:$I,MOVIMIENTOS!$D:$D,"Aporte",MOVIMIENTOS!$E:$E,"Anual",MOVIMIENTOS!$J:$J,$C23,MOVIMIENTOS!$B:$B,"&gt;="&amp;DATE(2026,9,1),MOVIMIENTOS!$B:$B,"&lt;"&amp;DATE(2026,10,1))</f>
        <v>0</v>
      </c>
      <c r="L23" s="5" t="n">
        <f aca="false">SUMIFS(MOVIMIENTOS!$I:$I,MOVIMIENTOS!$D:$D,"Aporte",MOVIMIENTOS!$E:$E,"Anual",MOVIMIENTOS!$J:$J,$C23,MOVIMIENTOS!$B:$B,"&gt;="&amp;DATE(2026,10,1),MOVIMIENTOS!$B:$B,"&lt;"&amp;DATE(2026,11,1))</f>
        <v>0</v>
      </c>
      <c r="M23" s="5" t="n">
        <f aca="false">SUMIFS(MOVIMIENTOS!$I:$I,MOVIMIENTOS!$D:$D,"Aporte",MOVIMIENTOS!$E:$E,"Anual",MOVIMIENTOS!$J:$J,$C23,MOVIMIENTOS!$B:$B,"&gt;="&amp;DATE(2026,11,1),MOVIMIENTOS!$B:$B,"&lt;"&amp;DATE(2026,12,1))</f>
        <v>0</v>
      </c>
      <c r="N23" s="5" t="n">
        <f aca="false">SUMIFS(MOVIMIENTOS!$I:$I,MOVIMIENTOS!$D:$D,"Aporte",MOVIMIENTOS!$E:$E,"Anual",MOVIMIENTOS!$J:$J,$C23,MOVIMIENTOS!$B:$B,"&gt;="&amp;DATE(2026,12,1),MOVIMIENTOS!$B:$B,"&lt;"&amp;DATE(2026,13,1))</f>
        <v>0</v>
      </c>
      <c r="O23" s="5" t="n">
        <f aca="false">SUM(E23:N23)</f>
        <v>3000</v>
      </c>
      <c r="P23" s="5" t="n">
        <f aca="false">SUMIFS(MOVIMIENTOS!$I:$I,MOVIMIENTOS!$D:$D,"Aporte",MOVIMIENTOS!$E:$E,"Extraordinaria",MOVIMIENTOS!$F:$F,P$4,MOVIMIENTOS!$J:$J,$C23)</f>
        <v>1000</v>
      </c>
      <c r="Q23" s="5" t="n">
        <f aca="false">SUMIFS(MOVIMIENTOS!$I:$I,MOVIMIENTOS!$D:$D,"Aporte",MOVIMIENTOS!$E:$E,"Extraordinaria",MOVIMIENTOS!$F:$F,Q$4,MOVIMIENTOS!$J:$J,$C23)</f>
        <v>2000</v>
      </c>
      <c r="R23" s="5" t="n">
        <f aca="false">SUMIFS(MOVIMIENTOS!$I:$I,MOVIMIENTOS!$D:$D,"Aporte",MOVIMIENTOS!$E:$E,"Extraordinaria",MOVIMIENTOS!$F:$F,R$4,MOVIMIENTOS!$J:$J,$C23)</f>
        <v>2000</v>
      </c>
      <c r="S23" s="5" t="n">
        <f aca="false">SUMIFS(MOVIMIENTOS!$I:$I,MOVIMIENTOS!$D:$D,"Aporte",MOVIMIENTOS!$E:$E,"Extraordinaria",MOVIMIENTOS!$F:$F,S$4,MOVIMIENTOS!$J:$J,$C23)</f>
        <v>0</v>
      </c>
      <c r="T23" s="5" t="n">
        <f aca="false">SUMIFS(MOVIMIENTOS!$I:$I,MOVIMIENTOS!$D:$D,"Aporte",MOVIMIENTOS!$E:$E,"Extraordinaria",MOVIMIENTOS!$F:$F,T$4,MOVIMIENTOS!$J:$J,$C23)</f>
        <v>0</v>
      </c>
      <c r="U23" s="5" t="n">
        <f aca="false">SUMIFS(MOVIMIENTOS!$I:$I,MOVIMIENTOS!$D:$D,"Aporte",MOVIMIENTOS!$E:$E,"Extraordinaria",MOVIMIENTOS!$F:$F,U$4,MOVIMIENTOS!$J:$J,$C23)</f>
        <v>0</v>
      </c>
      <c r="V23" s="5" t="n">
        <f aca="false">SUMIFS(MOVIMIENTOS!$I:$I,MOVIMIENTOS!$D:$D,"Aporte",MOVIMIENTOS!$E:$E,"Extraordinaria",MOVIMIENTOS!$F:$F,V$4,MOVIMIENTOS!$J:$J,$C23)</f>
        <v>0</v>
      </c>
      <c r="W23" s="5" t="n">
        <f aca="false">SUM(P23:V23)</f>
        <v>5000</v>
      </c>
      <c r="X23" s="5" t="n">
        <f aca="false">O23+W23</f>
        <v>8000</v>
      </c>
      <c r="Y23" s="9"/>
    </row>
    <row r="24" customFormat="false" ht="15" hidden="false" customHeight="false" outlineLevel="0" collapsed="false">
      <c r="A24" s="9" t="n">
        <v>20</v>
      </c>
      <c r="B24" s="9" t="s">
        <v>135</v>
      </c>
      <c r="C24" s="9" t="s">
        <v>136</v>
      </c>
      <c r="D24" s="9" t="s">
        <v>137</v>
      </c>
      <c r="E24" s="5" t="n">
        <f aca="false">SUMIFS(MOVIMIENTOS!$I:$I,MOVIMIENTOS!$D:$D,"Aporte",MOVIMIENTOS!$E:$E,"Anual",MOVIMIENTOS!$J:$J,$C24,MOVIMIENTOS!$B:$B,"&gt;="&amp;DATE(2026,3,1),MOVIMIENTOS!$B:$B,"&lt;"&amp;DATE(2026,4,1))</f>
        <v>3000</v>
      </c>
      <c r="F24" s="5" t="n">
        <f aca="false">SUMIFS(MOVIMIENTOS!$I:$I,MOVIMIENTOS!$D:$D,"Aporte",MOVIMIENTOS!$E:$E,"Anual",MOVIMIENTOS!$J:$J,$C24,MOVIMIENTOS!$B:$B,"&gt;="&amp;DATE(2026,4,1),MOVIMIENTOS!$B:$B,"&lt;"&amp;DATE(2026,5,1))</f>
        <v>3000</v>
      </c>
      <c r="G24" s="5" t="n">
        <f aca="false">SUMIFS(MOVIMIENTOS!$I:$I,MOVIMIENTOS!$D:$D,"Aporte",MOVIMIENTOS!$E:$E,"Anual",MOVIMIENTOS!$J:$J,$C24,MOVIMIENTOS!$B:$B,"&gt;="&amp;DATE(2026,5,1),MOVIMIENTOS!$B:$B,"&lt;"&amp;DATE(2026,6,1))</f>
        <v>3000</v>
      </c>
      <c r="H24" s="5" t="n">
        <f aca="false">SUMIFS(MOVIMIENTOS!$I:$I,MOVIMIENTOS!$D:$D,"Aporte",MOVIMIENTOS!$E:$E,"Anual",MOVIMIENTOS!$J:$J,$C24,MOVIMIENTOS!$B:$B,"&gt;="&amp;DATE(2026,6,1),MOVIMIENTOS!$B:$B,"&lt;"&amp;DATE(2026,7,1))</f>
        <v>0</v>
      </c>
      <c r="I24" s="5" t="n">
        <f aca="false">SUMIFS(MOVIMIENTOS!$I:$I,MOVIMIENTOS!$D:$D,"Aporte",MOVIMIENTOS!$E:$E,"Anual",MOVIMIENTOS!$J:$J,$C24,MOVIMIENTOS!$B:$B,"&gt;="&amp;DATE(2026,7,1),MOVIMIENTOS!$B:$B,"&lt;"&amp;DATE(2026,8,1))</f>
        <v>0</v>
      </c>
      <c r="J24" s="5" t="n">
        <f aca="false">SUMIFS(MOVIMIENTOS!$I:$I,MOVIMIENTOS!$D:$D,"Aporte",MOVIMIENTOS!$E:$E,"Anual",MOVIMIENTOS!$J:$J,$C24,MOVIMIENTOS!$B:$B,"&gt;="&amp;DATE(2026,8,1),MOVIMIENTOS!$B:$B,"&lt;"&amp;DATE(2026,9,1))</f>
        <v>0</v>
      </c>
      <c r="K24" s="5" t="n">
        <f aca="false">SUMIFS(MOVIMIENTOS!$I:$I,MOVIMIENTOS!$D:$D,"Aporte",MOVIMIENTOS!$E:$E,"Anual",MOVIMIENTOS!$J:$J,$C24,MOVIMIENTOS!$B:$B,"&gt;="&amp;DATE(2026,9,1),MOVIMIENTOS!$B:$B,"&lt;"&amp;DATE(2026,10,1))</f>
        <v>0</v>
      </c>
      <c r="L24" s="5" t="n">
        <f aca="false">SUMIFS(MOVIMIENTOS!$I:$I,MOVIMIENTOS!$D:$D,"Aporte",MOVIMIENTOS!$E:$E,"Anual",MOVIMIENTOS!$J:$J,$C24,MOVIMIENTOS!$B:$B,"&gt;="&amp;DATE(2026,10,1),MOVIMIENTOS!$B:$B,"&lt;"&amp;DATE(2026,11,1))</f>
        <v>0</v>
      </c>
      <c r="M24" s="5" t="n">
        <f aca="false">SUMIFS(MOVIMIENTOS!$I:$I,MOVIMIENTOS!$D:$D,"Aporte",MOVIMIENTOS!$E:$E,"Anual",MOVIMIENTOS!$J:$J,$C24,MOVIMIENTOS!$B:$B,"&gt;="&amp;DATE(2026,11,1),MOVIMIENTOS!$B:$B,"&lt;"&amp;DATE(2026,12,1))</f>
        <v>0</v>
      </c>
      <c r="N24" s="5" t="n">
        <f aca="false">SUMIFS(MOVIMIENTOS!$I:$I,MOVIMIENTOS!$D:$D,"Aporte",MOVIMIENTOS!$E:$E,"Anual",MOVIMIENTOS!$J:$J,$C24,MOVIMIENTOS!$B:$B,"&gt;="&amp;DATE(2026,12,1),MOVIMIENTOS!$B:$B,"&lt;"&amp;DATE(2026,13,1))</f>
        <v>0</v>
      </c>
      <c r="O24" s="5" t="n">
        <f aca="false">SUM(E24:N24)</f>
        <v>9000</v>
      </c>
      <c r="P24" s="16" t="n">
        <f aca="false">SUMIFS(MOVIMIENTOS!$I:$I,MOVIMIENTOS!$D:$D,"Aporte",MOVIMIENTOS!$E:$E,"Extraordinaria",MOVIMIENTOS!$F:$F,P$4,MOVIMIENTOS!$J:$J,$C24)</f>
        <v>1000</v>
      </c>
      <c r="Q24" s="16" t="n">
        <f aca="false">SUMIFS(MOVIMIENTOS!$I:$I,MOVIMIENTOS!$D:$D,"Aporte",MOVIMIENTOS!$E:$E,"Extraordinaria",MOVIMIENTOS!$F:$F,Q$4,MOVIMIENTOS!$J:$J,$C24)</f>
        <v>2000</v>
      </c>
      <c r="R24" s="5" t="n">
        <f aca="false">SUMIFS(MOVIMIENTOS!$I:$I,MOVIMIENTOS!$D:$D,"Aporte",MOVIMIENTOS!$E:$E,"Extraordinaria",MOVIMIENTOS!$F:$F,R$4,MOVIMIENTOS!$J:$J,$C24)</f>
        <v>2000</v>
      </c>
      <c r="S24" s="5" t="n">
        <f aca="false">SUMIFS(MOVIMIENTOS!$I:$I,MOVIMIENTOS!$D:$D,"Aporte",MOVIMIENTOS!$E:$E,"Extraordinaria",MOVIMIENTOS!$F:$F,S$4,MOVIMIENTOS!$J:$J,$C24)</f>
        <v>0</v>
      </c>
      <c r="T24" s="5" t="n">
        <f aca="false">SUMIFS(MOVIMIENTOS!$I:$I,MOVIMIENTOS!$D:$D,"Aporte",MOVIMIENTOS!$E:$E,"Extraordinaria",MOVIMIENTOS!$F:$F,T$4,MOVIMIENTOS!$J:$J,$C24)</f>
        <v>0</v>
      </c>
      <c r="U24" s="5" t="n">
        <f aca="false">SUMIFS(MOVIMIENTOS!$I:$I,MOVIMIENTOS!$D:$D,"Aporte",MOVIMIENTOS!$E:$E,"Extraordinaria",MOVIMIENTOS!$F:$F,U$4,MOVIMIENTOS!$J:$J,$C24)</f>
        <v>0</v>
      </c>
      <c r="V24" s="5" t="n">
        <f aca="false">SUMIFS(MOVIMIENTOS!$I:$I,MOVIMIENTOS!$D:$D,"Aporte",MOVIMIENTOS!$E:$E,"Extraordinaria",MOVIMIENTOS!$F:$F,V$4,MOVIMIENTOS!$J:$J,$C24)</f>
        <v>0</v>
      </c>
      <c r="W24" s="5" t="n">
        <f aca="false">SUM(P24:V24)</f>
        <v>5000</v>
      </c>
      <c r="X24" s="5" t="n">
        <f aca="false">O24+W24</f>
        <v>14000</v>
      </c>
      <c r="Y24" s="9"/>
    </row>
    <row r="25" customFormat="false" ht="15" hidden="false" customHeight="false" outlineLevel="0" collapsed="false">
      <c r="A25" s="9" t="n">
        <v>21</v>
      </c>
      <c r="B25" s="9" t="s">
        <v>138</v>
      </c>
      <c r="C25" s="9" t="s">
        <v>139</v>
      </c>
      <c r="D25" s="9" t="s">
        <v>140</v>
      </c>
      <c r="E25" s="5" t="n">
        <f aca="false">SUMIFS(MOVIMIENTOS!$I:$I,MOVIMIENTOS!$D:$D,"Aporte",MOVIMIENTOS!$E:$E,"Anual",MOVIMIENTOS!$J:$J,$C25,MOVIMIENTOS!$B:$B,"&gt;="&amp;DATE(2026,3,1),MOVIMIENTOS!$B:$B,"&lt;"&amp;DATE(2026,4,1))</f>
        <v>3000</v>
      </c>
      <c r="F25" s="5" t="n">
        <f aca="false">SUMIFS(MOVIMIENTOS!$I:$I,MOVIMIENTOS!$D:$D,"Aporte",MOVIMIENTOS!$E:$E,"Anual",MOVIMIENTOS!$J:$J,$C25,MOVIMIENTOS!$B:$B,"&gt;="&amp;DATE(2026,4,1),MOVIMIENTOS!$B:$B,"&lt;"&amp;DATE(2026,5,1))</f>
        <v>3000</v>
      </c>
      <c r="G25" s="5" t="n">
        <f aca="false">SUMIFS(MOVIMIENTOS!$I:$I,MOVIMIENTOS!$D:$D,"Aporte",MOVIMIENTOS!$E:$E,"Anual",MOVIMIENTOS!$J:$J,$C25,MOVIMIENTOS!$B:$B,"&gt;="&amp;DATE(2026,5,1),MOVIMIENTOS!$B:$B,"&lt;"&amp;DATE(2026,6,1))</f>
        <v>3000</v>
      </c>
      <c r="H25" s="5" t="n">
        <f aca="false">SUMIFS(MOVIMIENTOS!$I:$I,MOVIMIENTOS!$D:$D,"Aporte",MOVIMIENTOS!$E:$E,"Anual",MOVIMIENTOS!$J:$J,$C25,MOVIMIENTOS!$B:$B,"&gt;="&amp;DATE(2026,6,1),MOVIMIENTOS!$B:$B,"&lt;"&amp;DATE(2026,7,1))</f>
        <v>3000</v>
      </c>
      <c r="I25" s="5" t="n">
        <f aca="false">SUMIFS(MOVIMIENTOS!$I:$I,MOVIMIENTOS!$D:$D,"Aporte",MOVIMIENTOS!$E:$E,"Anual",MOVIMIENTOS!$J:$J,$C25,MOVIMIENTOS!$B:$B,"&gt;="&amp;DATE(2026,7,1),MOVIMIENTOS!$B:$B,"&lt;"&amp;DATE(2026,8,1))</f>
        <v>0</v>
      </c>
      <c r="J25" s="5" t="n">
        <f aca="false">SUMIFS(MOVIMIENTOS!$I:$I,MOVIMIENTOS!$D:$D,"Aporte",MOVIMIENTOS!$E:$E,"Anual",MOVIMIENTOS!$J:$J,$C25,MOVIMIENTOS!$B:$B,"&gt;="&amp;DATE(2026,8,1),MOVIMIENTOS!$B:$B,"&lt;"&amp;DATE(2026,9,1))</f>
        <v>0</v>
      </c>
      <c r="K25" s="5" t="n">
        <f aca="false">SUMIFS(MOVIMIENTOS!$I:$I,MOVIMIENTOS!$D:$D,"Aporte",MOVIMIENTOS!$E:$E,"Anual",MOVIMIENTOS!$J:$J,$C25,MOVIMIENTOS!$B:$B,"&gt;="&amp;DATE(2026,9,1),MOVIMIENTOS!$B:$B,"&lt;"&amp;DATE(2026,10,1))</f>
        <v>0</v>
      </c>
      <c r="L25" s="5" t="n">
        <f aca="false">SUMIFS(MOVIMIENTOS!$I:$I,MOVIMIENTOS!$D:$D,"Aporte",MOVIMIENTOS!$E:$E,"Anual",MOVIMIENTOS!$J:$J,$C25,MOVIMIENTOS!$B:$B,"&gt;="&amp;DATE(2026,10,1),MOVIMIENTOS!$B:$B,"&lt;"&amp;DATE(2026,11,1))</f>
        <v>0</v>
      </c>
      <c r="M25" s="5" t="n">
        <f aca="false">SUMIFS(MOVIMIENTOS!$I:$I,MOVIMIENTOS!$D:$D,"Aporte",MOVIMIENTOS!$E:$E,"Anual",MOVIMIENTOS!$J:$J,$C25,MOVIMIENTOS!$B:$B,"&gt;="&amp;DATE(2026,11,1),MOVIMIENTOS!$B:$B,"&lt;"&amp;DATE(2026,12,1))</f>
        <v>0</v>
      </c>
      <c r="N25" s="5" t="n">
        <f aca="false">SUMIFS(MOVIMIENTOS!$I:$I,MOVIMIENTOS!$D:$D,"Aporte",MOVIMIENTOS!$E:$E,"Anual",MOVIMIENTOS!$J:$J,$C25,MOVIMIENTOS!$B:$B,"&gt;="&amp;DATE(2026,12,1),MOVIMIENTOS!$B:$B,"&lt;"&amp;DATE(2026,13,1))</f>
        <v>0</v>
      </c>
      <c r="O25" s="5" t="n">
        <f aca="false">SUM(E25:N25)</f>
        <v>12000</v>
      </c>
      <c r="P25" s="5" t="n">
        <f aca="false">SUMIFS(MOVIMIENTOS!$I:$I,MOVIMIENTOS!$D:$D,"Aporte",MOVIMIENTOS!$E:$E,"Extraordinaria",MOVIMIENTOS!$F:$F,P$4,MOVIMIENTOS!$J:$J,$C25)</f>
        <v>1000</v>
      </c>
      <c r="Q25" s="16" t="n">
        <f aca="false">SUMIFS(MOVIMIENTOS!$I:$I,MOVIMIENTOS!$D:$D,"Aporte",MOVIMIENTOS!$E:$E,"Extraordinaria",MOVIMIENTOS!$F:$F,Q$4,MOVIMIENTOS!$J:$J,$C25)</f>
        <v>2000</v>
      </c>
      <c r="R25" s="5" t="n">
        <f aca="false">SUMIFS(MOVIMIENTOS!$I:$I,MOVIMIENTOS!$D:$D,"Aporte",MOVIMIENTOS!$E:$E,"Extraordinaria",MOVIMIENTOS!$F:$F,R$4,MOVIMIENTOS!$J:$J,$C25)</f>
        <v>2000</v>
      </c>
      <c r="S25" s="5" t="n">
        <f aca="false">SUMIFS(MOVIMIENTOS!$I:$I,MOVIMIENTOS!$D:$D,"Aporte",MOVIMIENTOS!$E:$E,"Extraordinaria",MOVIMIENTOS!$F:$F,S$4,MOVIMIENTOS!$J:$J,$C25)</f>
        <v>0</v>
      </c>
      <c r="T25" s="5" t="n">
        <f aca="false">SUMIFS(MOVIMIENTOS!$I:$I,MOVIMIENTOS!$D:$D,"Aporte",MOVIMIENTOS!$E:$E,"Extraordinaria",MOVIMIENTOS!$F:$F,T$4,MOVIMIENTOS!$J:$J,$C25)</f>
        <v>0</v>
      </c>
      <c r="U25" s="5" t="n">
        <f aca="false">SUMIFS(MOVIMIENTOS!$I:$I,MOVIMIENTOS!$D:$D,"Aporte",MOVIMIENTOS!$E:$E,"Extraordinaria",MOVIMIENTOS!$F:$F,U$4,MOVIMIENTOS!$J:$J,$C25)</f>
        <v>0</v>
      </c>
      <c r="V25" s="5" t="n">
        <f aca="false">SUMIFS(MOVIMIENTOS!$I:$I,MOVIMIENTOS!$D:$D,"Aporte",MOVIMIENTOS!$E:$E,"Extraordinaria",MOVIMIENTOS!$F:$F,V$4,MOVIMIENTOS!$J:$J,$C25)</f>
        <v>0</v>
      </c>
      <c r="W25" s="5" t="n">
        <f aca="false">SUM(P25:V25)</f>
        <v>5000</v>
      </c>
      <c r="X25" s="5" t="n">
        <f aca="false">O25+W25</f>
        <v>17000</v>
      </c>
      <c r="Y25" s="9"/>
    </row>
    <row r="26" customFormat="false" ht="15" hidden="false" customHeight="false" outlineLevel="0" collapsed="false">
      <c r="A26" s="9" t="n">
        <v>22</v>
      </c>
      <c r="B26" s="9" t="s">
        <v>141</v>
      </c>
      <c r="C26" s="9" t="s">
        <v>142</v>
      </c>
      <c r="D26" s="9"/>
      <c r="E26" s="5" t="n">
        <f aca="false">SUMIFS(MOVIMIENTOS!$I:$I,MOVIMIENTOS!$D:$D,"Aporte",MOVIMIENTOS!$E:$E,"Anual",MOVIMIENTOS!$J:$J,$C26,MOVIMIENTOS!$B:$B,"&gt;="&amp;DATE(2026,3,1),MOVIMIENTOS!$B:$B,"&lt;"&amp;DATE(2026,4,1))</f>
        <v>0</v>
      </c>
      <c r="F26" s="5" t="n">
        <f aca="false">SUMIFS(MOVIMIENTOS!$I:$I,MOVIMIENTOS!$D:$D,"Aporte",MOVIMIENTOS!$E:$E,"Anual",MOVIMIENTOS!$J:$J,$C26,MOVIMIENTOS!$B:$B,"&gt;="&amp;DATE(2026,4,1),MOVIMIENTOS!$B:$B,"&lt;"&amp;DATE(2026,5,1))</f>
        <v>0</v>
      </c>
      <c r="G26" s="5" t="n">
        <f aca="false">SUMIFS(MOVIMIENTOS!$I:$I,MOVIMIENTOS!$D:$D,"Aporte",MOVIMIENTOS!$E:$E,"Anual",MOVIMIENTOS!$J:$J,$C26,MOVIMIENTOS!$B:$B,"&gt;="&amp;DATE(2026,5,1),MOVIMIENTOS!$B:$B,"&lt;"&amp;DATE(2026,6,1))</f>
        <v>0</v>
      </c>
      <c r="H26" s="5" t="n">
        <f aca="false">SUMIFS(MOVIMIENTOS!$I:$I,MOVIMIENTOS!$D:$D,"Aporte",MOVIMIENTOS!$E:$E,"Anual",MOVIMIENTOS!$J:$J,$C26,MOVIMIENTOS!$B:$B,"&gt;="&amp;DATE(2026,6,1),MOVIMIENTOS!$B:$B,"&lt;"&amp;DATE(2026,7,1))</f>
        <v>0</v>
      </c>
      <c r="I26" s="5" t="n">
        <f aca="false">SUMIFS(MOVIMIENTOS!$I:$I,MOVIMIENTOS!$D:$D,"Aporte",MOVIMIENTOS!$E:$E,"Anual",MOVIMIENTOS!$J:$J,$C26,MOVIMIENTOS!$B:$B,"&gt;="&amp;DATE(2026,7,1),MOVIMIENTOS!$B:$B,"&lt;"&amp;DATE(2026,8,1))</f>
        <v>0</v>
      </c>
      <c r="J26" s="5" t="n">
        <f aca="false">SUMIFS(MOVIMIENTOS!$I:$I,MOVIMIENTOS!$D:$D,"Aporte",MOVIMIENTOS!$E:$E,"Anual",MOVIMIENTOS!$J:$J,$C26,MOVIMIENTOS!$B:$B,"&gt;="&amp;DATE(2026,8,1),MOVIMIENTOS!$B:$B,"&lt;"&amp;DATE(2026,9,1))</f>
        <v>0</v>
      </c>
      <c r="K26" s="5" t="n">
        <f aca="false">SUMIFS(MOVIMIENTOS!$I:$I,MOVIMIENTOS!$D:$D,"Aporte",MOVIMIENTOS!$E:$E,"Anual",MOVIMIENTOS!$J:$J,$C26,MOVIMIENTOS!$B:$B,"&gt;="&amp;DATE(2026,9,1),MOVIMIENTOS!$B:$B,"&lt;"&amp;DATE(2026,10,1))</f>
        <v>0</v>
      </c>
      <c r="L26" s="5" t="n">
        <f aca="false">SUMIFS(MOVIMIENTOS!$I:$I,MOVIMIENTOS!$D:$D,"Aporte",MOVIMIENTOS!$E:$E,"Anual",MOVIMIENTOS!$J:$J,$C26,MOVIMIENTOS!$B:$B,"&gt;="&amp;DATE(2026,10,1),MOVIMIENTOS!$B:$B,"&lt;"&amp;DATE(2026,11,1))</f>
        <v>0</v>
      </c>
      <c r="M26" s="5" t="n">
        <f aca="false">SUMIFS(MOVIMIENTOS!$I:$I,MOVIMIENTOS!$D:$D,"Aporte",MOVIMIENTOS!$E:$E,"Anual",MOVIMIENTOS!$J:$J,$C26,MOVIMIENTOS!$B:$B,"&gt;="&amp;DATE(2026,11,1),MOVIMIENTOS!$B:$B,"&lt;"&amp;DATE(2026,12,1))</f>
        <v>0</v>
      </c>
      <c r="N26" s="5" t="n">
        <f aca="false">SUMIFS(MOVIMIENTOS!$I:$I,MOVIMIENTOS!$D:$D,"Aporte",MOVIMIENTOS!$E:$E,"Anual",MOVIMIENTOS!$J:$J,$C26,MOVIMIENTOS!$B:$B,"&gt;="&amp;DATE(2026,12,1),MOVIMIENTOS!$B:$B,"&lt;"&amp;DATE(2026,13,1))</f>
        <v>0</v>
      </c>
      <c r="O26" s="5" t="n">
        <f aca="false">SUM(E26:N26)</f>
        <v>0</v>
      </c>
      <c r="P26" s="5" t="n">
        <f aca="false">SUMIFS(MOVIMIENTOS!$I:$I,MOVIMIENTOS!$D:$D,"Aporte",MOVIMIENTOS!$E:$E,"Extraordinaria",MOVIMIENTOS!$F:$F,P$4,MOVIMIENTOS!$J:$J,$C26)</f>
        <v>0</v>
      </c>
      <c r="Q26" s="5" t="n">
        <f aca="false">SUMIFS(MOVIMIENTOS!$I:$I,MOVIMIENTOS!$D:$D,"Aporte",MOVIMIENTOS!$E:$E,"Extraordinaria",MOVIMIENTOS!$F:$F,Q$4,MOVIMIENTOS!$J:$J,$C26)</f>
        <v>0</v>
      </c>
      <c r="R26" s="5" t="n">
        <f aca="false">SUMIFS(MOVIMIENTOS!$I:$I,MOVIMIENTOS!$D:$D,"Aporte",MOVIMIENTOS!$E:$E,"Extraordinaria",MOVIMIENTOS!$F:$F,R$4,MOVIMIENTOS!$J:$J,$C26)</f>
        <v>0</v>
      </c>
      <c r="S26" s="5" t="n">
        <f aca="false">SUMIFS(MOVIMIENTOS!$I:$I,MOVIMIENTOS!$D:$D,"Aporte",MOVIMIENTOS!$E:$E,"Extraordinaria",MOVIMIENTOS!$F:$F,S$4,MOVIMIENTOS!$J:$J,$C26)</f>
        <v>0</v>
      </c>
      <c r="T26" s="5" t="n">
        <f aca="false">SUMIFS(MOVIMIENTOS!$I:$I,MOVIMIENTOS!$D:$D,"Aporte",MOVIMIENTOS!$E:$E,"Extraordinaria",MOVIMIENTOS!$F:$F,T$4,MOVIMIENTOS!$J:$J,$C26)</f>
        <v>0</v>
      </c>
      <c r="U26" s="5" t="n">
        <f aca="false">SUMIFS(MOVIMIENTOS!$I:$I,MOVIMIENTOS!$D:$D,"Aporte",MOVIMIENTOS!$E:$E,"Extraordinaria",MOVIMIENTOS!$F:$F,U$4,MOVIMIENTOS!$J:$J,$C26)</f>
        <v>0</v>
      </c>
      <c r="V26" s="5" t="n">
        <f aca="false">SUMIFS(MOVIMIENTOS!$I:$I,MOVIMIENTOS!$D:$D,"Aporte",MOVIMIENTOS!$E:$E,"Extraordinaria",MOVIMIENTOS!$F:$F,V$4,MOVIMIENTOS!$J:$J,$C26)</f>
        <v>0</v>
      </c>
      <c r="W26" s="5" t="n">
        <f aca="false">SUM(P26:V26)</f>
        <v>0</v>
      </c>
      <c r="X26" s="5" t="n">
        <f aca="false">O26+W26</f>
        <v>0</v>
      </c>
      <c r="Y26" s="9"/>
    </row>
    <row r="27" customFormat="false" ht="15" hidden="false" customHeight="false" outlineLevel="0" collapsed="false">
      <c r="A27" s="9" t="n">
        <v>23</v>
      </c>
      <c r="B27" s="9" t="s">
        <v>143</v>
      </c>
      <c r="C27" s="9" t="s">
        <v>144</v>
      </c>
      <c r="D27" s="9" t="s">
        <v>145</v>
      </c>
      <c r="E27" s="5" t="n">
        <f aca="false">SUMIFS(MOVIMIENTOS!$I:$I,MOVIMIENTOS!$D:$D,"Aporte",MOVIMIENTOS!$E:$E,"Anual",MOVIMIENTOS!$J:$J,$C27,MOVIMIENTOS!$B:$B,"&gt;="&amp;DATE(2026,3,1),MOVIMIENTOS!$B:$B,"&lt;"&amp;DATE(2026,4,1))</f>
        <v>3000</v>
      </c>
      <c r="F27" s="5" t="n">
        <f aca="false">SUMIFS(MOVIMIENTOS!$I:$I,MOVIMIENTOS!$D:$D,"Aporte",MOVIMIENTOS!$E:$E,"Anual",MOVIMIENTOS!$J:$J,$C27,MOVIMIENTOS!$B:$B,"&gt;="&amp;DATE(2026,4,1),MOVIMIENTOS!$B:$B,"&lt;"&amp;DATE(2026,5,1))</f>
        <v>0</v>
      </c>
      <c r="G27" s="5" t="n">
        <f aca="false">SUMIFS(MOVIMIENTOS!$I:$I,MOVIMIENTOS!$D:$D,"Aporte",MOVIMIENTOS!$E:$E,"Anual",MOVIMIENTOS!$J:$J,$C27,MOVIMIENTOS!$B:$B,"&gt;="&amp;DATE(2026,5,1),MOVIMIENTOS!$B:$B,"&lt;"&amp;DATE(2026,6,1))</f>
        <v>0</v>
      </c>
      <c r="H27" s="5" t="n">
        <f aca="false">SUMIFS(MOVIMIENTOS!$I:$I,MOVIMIENTOS!$D:$D,"Aporte",MOVIMIENTOS!$E:$E,"Anual",MOVIMIENTOS!$J:$J,$C27,MOVIMIENTOS!$B:$B,"&gt;="&amp;DATE(2026,6,1),MOVIMIENTOS!$B:$B,"&lt;"&amp;DATE(2026,7,1))</f>
        <v>0</v>
      </c>
      <c r="I27" s="5" t="n">
        <f aca="false">SUMIFS(MOVIMIENTOS!$I:$I,MOVIMIENTOS!$D:$D,"Aporte",MOVIMIENTOS!$E:$E,"Anual",MOVIMIENTOS!$J:$J,$C27,MOVIMIENTOS!$B:$B,"&gt;="&amp;DATE(2026,7,1),MOVIMIENTOS!$B:$B,"&lt;"&amp;DATE(2026,8,1))</f>
        <v>0</v>
      </c>
      <c r="J27" s="5" t="n">
        <f aca="false">SUMIFS(MOVIMIENTOS!$I:$I,MOVIMIENTOS!$D:$D,"Aporte",MOVIMIENTOS!$E:$E,"Anual",MOVIMIENTOS!$J:$J,$C27,MOVIMIENTOS!$B:$B,"&gt;="&amp;DATE(2026,8,1),MOVIMIENTOS!$B:$B,"&lt;"&amp;DATE(2026,9,1))</f>
        <v>0</v>
      </c>
      <c r="K27" s="5" t="n">
        <f aca="false">SUMIFS(MOVIMIENTOS!$I:$I,MOVIMIENTOS!$D:$D,"Aporte",MOVIMIENTOS!$E:$E,"Anual",MOVIMIENTOS!$J:$J,$C27,MOVIMIENTOS!$B:$B,"&gt;="&amp;DATE(2026,9,1),MOVIMIENTOS!$B:$B,"&lt;"&amp;DATE(2026,10,1))</f>
        <v>0</v>
      </c>
      <c r="L27" s="5" t="n">
        <f aca="false">SUMIFS(MOVIMIENTOS!$I:$I,MOVIMIENTOS!$D:$D,"Aporte",MOVIMIENTOS!$E:$E,"Anual",MOVIMIENTOS!$J:$J,$C27,MOVIMIENTOS!$B:$B,"&gt;="&amp;DATE(2026,10,1),MOVIMIENTOS!$B:$B,"&lt;"&amp;DATE(2026,11,1))</f>
        <v>0</v>
      </c>
      <c r="M27" s="5" t="n">
        <f aca="false">SUMIFS(MOVIMIENTOS!$I:$I,MOVIMIENTOS!$D:$D,"Aporte",MOVIMIENTOS!$E:$E,"Anual",MOVIMIENTOS!$J:$J,$C27,MOVIMIENTOS!$B:$B,"&gt;="&amp;DATE(2026,11,1),MOVIMIENTOS!$B:$B,"&lt;"&amp;DATE(2026,12,1))</f>
        <v>0</v>
      </c>
      <c r="N27" s="5" t="n">
        <f aca="false">SUMIFS(MOVIMIENTOS!$I:$I,MOVIMIENTOS!$D:$D,"Aporte",MOVIMIENTOS!$E:$E,"Anual",MOVIMIENTOS!$J:$J,$C27,MOVIMIENTOS!$B:$B,"&gt;="&amp;DATE(2026,12,1),MOVIMIENTOS!$B:$B,"&lt;"&amp;DATE(2026,13,1))</f>
        <v>0</v>
      </c>
      <c r="O27" s="5" t="n">
        <f aca="false">SUM(E27:N27)</f>
        <v>3000</v>
      </c>
      <c r="P27" s="5" t="n">
        <f aca="false">SUMIFS(MOVIMIENTOS!$I:$I,MOVIMIENTOS!$D:$D,"Aporte",MOVIMIENTOS!$E:$E,"Extraordinaria",MOVIMIENTOS!$F:$F,P$4,MOVIMIENTOS!$J:$J,$C27)</f>
        <v>1000</v>
      </c>
      <c r="Q27" s="16" t="n">
        <f aca="false">SUMIFS(MOVIMIENTOS!$I:$I,MOVIMIENTOS!$D:$D,"Aporte",MOVIMIENTOS!$E:$E,"Extraordinaria",MOVIMIENTOS!$F:$F,Q$4,MOVIMIENTOS!$J:$J,$C27)</f>
        <v>2000</v>
      </c>
      <c r="R27" s="5" t="n">
        <f aca="false">SUMIFS(MOVIMIENTOS!$I:$I,MOVIMIENTOS!$D:$D,"Aporte",MOVIMIENTOS!$E:$E,"Extraordinaria",MOVIMIENTOS!$F:$F,R$4,MOVIMIENTOS!$J:$J,$C27)</f>
        <v>2000</v>
      </c>
      <c r="S27" s="5" t="n">
        <f aca="false">SUMIFS(MOVIMIENTOS!$I:$I,MOVIMIENTOS!$D:$D,"Aporte",MOVIMIENTOS!$E:$E,"Extraordinaria",MOVIMIENTOS!$F:$F,S$4,MOVIMIENTOS!$J:$J,$C27)</f>
        <v>0</v>
      </c>
      <c r="T27" s="5" t="n">
        <f aca="false">SUMIFS(MOVIMIENTOS!$I:$I,MOVIMIENTOS!$D:$D,"Aporte",MOVIMIENTOS!$E:$E,"Extraordinaria",MOVIMIENTOS!$F:$F,T$4,MOVIMIENTOS!$J:$J,$C27)</f>
        <v>0</v>
      </c>
      <c r="U27" s="16" t="n">
        <f aca="false">SUMIFS(MOVIMIENTOS!$I:$I,MOVIMIENTOS!$D:$D,"Aporte",MOVIMIENTOS!$E:$E,"Extraordinaria",MOVIMIENTOS!$F:$F,U$4,MOVIMIENTOS!$J:$J,$C27)</f>
        <v>1000</v>
      </c>
      <c r="V27" s="5" t="n">
        <f aca="false">SUMIFS(MOVIMIENTOS!$I:$I,MOVIMIENTOS!$D:$D,"Aporte",MOVIMIENTOS!$E:$E,"Extraordinaria",MOVIMIENTOS!$F:$F,V$4,MOVIMIENTOS!$J:$J,$C27)</f>
        <v>0</v>
      </c>
      <c r="W27" s="5" t="n">
        <f aca="false">SUM(P27:V27)</f>
        <v>6000</v>
      </c>
      <c r="X27" s="5" t="n">
        <f aca="false">O27+W27</f>
        <v>9000</v>
      </c>
      <c r="Y27" s="9"/>
    </row>
    <row r="28" customFormat="false" ht="15" hidden="false" customHeight="false" outlineLevel="0" collapsed="false">
      <c r="A28" s="9" t="n">
        <v>24</v>
      </c>
      <c r="B28" s="9" t="s">
        <v>146</v>
      </c>
      <c r="C28" s="9" t="s">
        <v>147</v>
      </c>
      <c r="D28" s="9" t="s">
        <v>148</v>
      </c>
      <c r="E28" s="5" t="n">
        <f aca="false">SUMIFS(MOVIMIENTOS!$I:$I,MOVIMIENTOS!$D:$D,"Aporte",MOVIMIENTOS!$E:$E,"Anual",MOVIMIENTOS!$J:$J,$C28,MOVIMIENTOS!$B:$B,"&gt;="&amp;DATE(2026,3,1),MOVIMIENTOS!$B:$B,"&lt;"&amp;DATE(2026,4,1))</f>
        <v>3000</v>
      </c>
      <c r="F28" s="5" t="n">
        <f aca="false">SUMIFS(MOVIMIENTOS!$I:$I,MOVIMIENTOS!$D:$D,"Aporte",MOVIMIENTOS!$E:$E,"Anual",MOVIMIENTOS!$J:$J,$C28,MOVIMIENTOS!$B:$B,"&gt;="&amp;DATE(2026,4,1),MOVIMIENTOS!$B:$B,"&lt;"&amp;DATE(2026,5,1))</f>
        <v>0</v>
      </c>
      <c r="G28" s="5" t="n">
        <f aca="false">SUMIFS(MOVIMIENTOS!$I:$I,MOVIMIENTOS!$D:$D,"Aporte",MOVIMIENTOS!$E:$E,"Anual",MOVIMIENTOS!$J:$J,$C28,MOVIMIENTOS!$B:$B,"&gt;="&amp;DATE(2026,5,1),MOVIMIENTOS!$B:$B,"&lt;"&amp;DATE(2026,6,1))</f>
        <v>0</v>
      </c>
      <c r="H28" s="5" t="n">
        <f aca="false">SUMIFS(MOVIMIENTOS!$I:$I,MOVIMIENTOS!$D:$D,"Aporte",MOVIMIENTOS!$E:$E,"Anual",MOVIMIENTOS!$J:$J,$C28,MOVIMIENTOS!$B:$B,"&gt;="&amp;DATE(2026,6,1),MOVIMIENTOS!$B:$B,"&lt;"&amp;DATE(2026,7,1))</f>
        <v>0</v>
      </c>
      <c r="I28" s="5" t="n">
        <f aca="false">SUMIFS(MOVIMIENTOS!$I:$I,MOVIMIENTOS!$D:$D,"Aporte",MOVIMIENTOS!$E:$E,"Anual",MOVIMIENTOS!$J:$J,$C28,MOVIMIENTOS!$B:$B,"&gt;="&amp;DATE(2026,7,1),MOVIMIENTOS!$B:$B,"&lt;"&amp;DATE(2026,8,1))</f>
        <v>0</v>
      </c>
      <c r="J28" s="5" t="n">
        <f aca="false">SUMIFS(MOVIMIENTOS!$I:$I,MOVIMIENTOS!$D:$D,"Aporte",MOVIMIENTOS!$E:$E,"Anual",MOVIMIENTOS!$J:$J,$C28,MOVIMIENTOS!$B:$B,"&gt;="&amp;DATE(2026,8,1),MOVIMIENTOS!$B:$B,"&lt;"&amp;DATE(2026,9,1))</f>
        <v>0</v>
      </c>
      <c r="K28" s="5" t="n">
        <f aca="false">SUMIFS(MOVIMIENTOS!$I:$I,MOVIMIENTOS!$D:$D,"Aporte",MOVIMIENTOS!$E:$E,"Anual",MOVIMIENTOS!$J:$J,$C28,MOVIMIENTOS!$B:$B,"&gt;="&amp;DATE(2026,9,1),MOVIMIENTOS!$B:$B,"&lt;"&amp;DATE(2026,10,1))</f>
        <v>0</v>
      </c>
      <c r="L28" s="5" t="n">
        <f aca="false">SUMIFS(MOVIMIENTOS!$I:$I,MOVIMIENTOS!$D:$D,"Aporte",MOVIMIENTOS!$E:$E,"Anual",MOVIMIENTOS!$J:$J,$C28,MOVIMIENTOS!$B:$B,"&gt;="&amp;DATE(2026,10,1),MOVIMIENTOS!$B:$B,"&lt;"&amp;DATE(2026,11,1))</f>
        <v>0</v>
      </c>
      <c r="M28" s="5" t="n">
        <f aca="false">SUMIFS(MOVIMIENTOS!$I:$I,MOVIMIENTOS!$D:$D,"Aporte",MOVIMIENTOS!$E:$E,"Anual",MOVIMIENTOS!$J:$J,$C28,MOVIMIENTOS!$B:$B,"&gt;="&amp;DATE(2026,11,1),MOVIMIENTOS!$B:$B,"&lt;"&amp;DATE(2026,12,1))</f>
        <v>0</v>
      </c>
      <c r="N28" s="5" t="n">
        <f aca="false">SUMIFS(MOVIMIENTOS!$I:$I,MOVIMIENTOS!$D:$D,"Aporte",MOVIMIENTOS!$E:$E,"Anual",MOVIMIENTOS!$J:$J,$C28,MOVIMIENTOS!$B:$B,"&gt;="&amp;DATE(2026,12,1),MOVIMIENTOS!$B:$B,"&lt;"&amp;DATE(2026,13,1))</f>
        <v>0</v>
      </c>
      <c r="O28" s="5" t="n">
        <f aca="false">SUM(E28:N28)</f>
        <v>3000</v>
      </c>
      <c r="P28" s="5" t="n">
        <f aca="false">SUMIFS(MOVIMIENTOS!$I:$I,MOVIMIENTOS!$D:$D,"Aporte",MOVIMIENTOS!$E:$E,"Extraordinaria",MOVIMIENTOS!$F:$F,P$4,MOVIMIENTOS!$J:$J,$C28)</f>
        <v>1000</v>
      </c>
      <c r="Q28" s="16" t="n">
        <f aca="false">SUMIFS(MOVIMIENTOS!$I:$I,MOVIMIENTOS!$D:$D,"Aporte",MOVIMIENTOS!$E:$E,"Extraordinaria",MOVIMIENTOS!$F:$F,Q$4,MOVIMIENTOS!$J:$J,$C28)</f>
        <v>2000</v>
      </c>
      <c r="R28" s="5" t="n">
        <f aca="false">SUMIFS(MOVIMIENTOS!$I:$I,MOVIMIENTOS!$D:$D,"Aporte",MOVIMIENTOS!$E:$E,"Extraordinaria",MOVIMIENTOS!$F:$F,R$4,MOVIMIENTOS!$J:$J,$C28)</f>
        <v>2000</v>
      </c>
      <c r="S28" s="5" t="n">
        <f aca="false">SUMIFS(MOVIMIENTOS!$I:$I,MOVIMIENTOS!$D:$D,"Aporte",MOVIMIENTOS!$E:$E,"Extraordinaria",MOVIMIENTOS!$F:$F,S$4,MOVIMIENTOS!$J:$J,$C28)</f>
        <v>0</v>
      </c>
      <c r="T28" s="5" t="n">
        <f aca="false">SUMIFS(MOVIMIENTOS!$I:$I,MOVIMIENTOS!$D:$D,"Aporte",MOVIMIENTOS!$E:$E,"Extraordinaria",MOVIMIENTOS!$F:$F,T$4,MOVIMIENTOS!$J:$J,$C28)</f>
        <v>0</v>
      </c>
      <c r="U28" s="16" t="n">
        <f aca="false">SUMIFS(MOVIMIENTOS!$I:$I,MOVIMIENTOS!$D:$D,"Aporte",MOVIMIENTOS!$E:$E,"Extraordinaria",MOVIMIENTOS!$F:$F,U$4,MOVIMIENTOS!$J:$J,$C28)</f>
        <v>1000</v>
      </c>
      <c r="V28" s="5" t="n">
        <f aca="false">SUMIFS(MOVIMIENTOS!$I:$I,MOVIMIENTOS!$D:$D,"Aporte",MOVIMIENTOS!$E:$E,"Extraordinaria",MOVIMIENTOS!$F:$F,V$4,MOVIMIENTOS!$J:$J,$C28)</f>
        <v>0</v>
      </c>
      <c r="W28" s="5" t="n">
        <f aca="false">SUM(P28:V28)</f>
        <v>6000</v>
      </c>
      <c r="X28" s="5" t="n">
        <f aca="false">O28+W28</f>
        <v>9000</v>
      </c>
      <c r="Y28" s="9"/>
    </row>
    <row r="29" customFormat="false" ht="15" hidden="false" customHeight="false" outlineLevel="0" collapsed="false">
      <c r="A29" s="9" t="n">
        <v>25</v>
      </c>
      <c r="B29" s="9" t="s">
        <v>149</v>
      </c>
      <c r="C29" s="9" t="s">
        <v>150</v>
      </c>
      <c r="D29" s="9" t="s">
        <v>151</v>
      </c>
      <c r="E29" s="5" t="n">
        <f aca="false">SUMIFS(MOVIMIENTOS!$I:$I,MOVIMIENTOS!$D:$D,"Aporte",MOVIMIENTOS!$E:$E,"Anual",MOVIMIENTOS!$J:$J,$C29,MOVIMIENTOS!$B:$B,"&gt;="&amp;DATE(2026,3,1),MOVIMIENTOS!$B:$B,"&lt;"&amp;DATE(2026,4,1))</f>
        <v>3000</v>
      </c>
      <c r="F29" s="5" t="n">
        <f aca="false">SUMIFS(MOVIMIENTOS!$I:$I,MOVIMIENTOS!$D:$D,"Aporte",MOVIMIENTOS!$E:$E,"Anual",MOVIMIENTOS!$J:$J,$C29,MOVIMIENTOS!$B:$B,"&gt;="&amp;DATE(2026,4,1),MOVIMIENTOS!$B:$B,"&lt;"&amp;DATE(2026,5,1))</f>
        <v>3000</v>
      </c>
      <c r="G29" s="5" t="n">
        <f aca="false">SUMIFS(MOVIMIENTOS!$I:$I,MOVIMIENTOS!$D:$D,"Aporte",MOVIMIENTOS!$E:$E,"Anual",MOVIMIENTOS!$J:$J,$C29,MOVIMIENTOS!$B:$B,"&gt;="&amp;DATE(2026,5,1),MOVIMIENTOS!$B:$B,"&lt;"&amp;DATE(2026,6,1))</f>
        <v>3000</v>
      </c>
      <c r="H29" s="5" t="n">
        <f aca="false">SUMIFS(MOVIMIENTOS!$I:$I,MOVIMIENTOS!$D:$D,"Aporte",MOVIMIENTOS!$E:$E,"Anual",MOVIMIENTOS!$J:$J,$C29,MOVIMIENTOS!$B:$B,"&gt;="&amp;DATE(2026,6,1),MOVIMIENTOS!$B:$B,"&lt;"&amp;DATE(2026,7,1))</f>
        <v>3000</v>
      </c>
      <c r="I29" s="5" t="n">
        <f aca="false">SUMIFS(MOVIMIENTOS!$I:$I,MOVIMIENTOS!$D:$D,"Aporte",MOVIMIENTOS!$E:$E,"Anual",MOVIMIENTOS!$J:$J,$C29,MOVIMIENTOS!$B:$B,"&gt;="&amp;DATE(2026,7,1),MOVIMIENTOS!$B:$B,"&lt;"&amp;DATE(2026,8,1))</f>
        <v>3000</v>
      </c>
      <c r="J29" s="5" t="n">
        <f aca="false">SUMIFS(MOVIMIENTOS!$I:$I,MOVIMIENTOS!$D:$D,"Aporte",MOVIMIENTOS!$E:$E,"Anual",MOVIMIENTOS!$J:$J,$C29,MOVIMIENTOS!$B:$B,"&gt;="&amp;DATE(2026,8,1),MOVIMIENTOS!$B:$B,"&lt;"&amp;DATE(2026,9,1))</f>
        <v>0</v>
      </c>
      <c r="K29" s="5" t="n">
        <f aca="false">SUMIFS(MOVIMIENTOS!$I:$I,MOVIMIENTOS!$D:$D,"Aporte",MOVIMIENTOS!$E:$E,"Anual",MOVIMIENTOS!$J:$J,$C29,MOVIMIENTOS!$B:$B,"&gt;="&amp;DATE(2026,9,1),MOVIMIENTOS!$B:$B,"&lt;"&amp;DATE(2026,10,1))</f>
        <v>0</v>
      </c>
      <c r="L29" s="5" t="n">
        <f aca="false">SUMIFS(MOVIMIENTOS!$I:$I,MOVIMIENTOS!$D:$D,"Aporte",MOVIMIENTOS!$E:$E,"Anual",MOVIMIENTOS!$J:$J,$C29,MOVIMIENTOS!$B:$B,"&gt;="&amp;DATE(2026,10,1),MOVIMIENTOS!$B:$B,"&lt;"&amp;DATE(2026,11,1))</f>
        <v>0</v>
      </c>
      <c r="M29" s="5" t="n">
        <f aca="false">SUMIFS(MOVIMIENTOS!$I:$I,MOVIMIENTOS!$D:$D,"Aporte",MOVIMIENTOS!$E:$E,"Anual",MOVIMIENTOS!$J:$J,$C29,MOVIMIENTOS!$B:$B,"&gt;="&amp;DATE(2026,11,1),MOVIMIENTOS!$B:$B,"&lt;"&amp;DATE(2026,12,1))</f>
        <v>0</v>
      </c>
      <c r="N29" s="5" t="n">
        <f aca="false">SUMIFS(MOVIMIENTOS!$I:$I,MOVIMIENTOS!$D:$D,"Aporte",MOVIMIENTOS!$E:$E,"Anual",MOVIMIENTOS!$J:$J,$C29,MOVIMIENTOS!$B:$B,"&gt;="&amp;DATE(2026,12,1),MOVIMIENTOS!$B:$B,"&lt;"&amp;DATE(2026,13,1))</f>
        <v>0</v>
      </c>
      <c r="O29" s="5" t="n">
        <f aca="false">SUM(E29:N29)</f>
        <v>15000</v>
      </c>
      <c r="P29" s="16" t="n">
        <f aca="false">SUMIFS(MOVIMIENTOS!$I:$I,MOVIMIENTOS!$D:$D,"Aporte",MOVIMIENTOS!$E:$E,"Extraordinaria",MOVIMIENTOS!$F:$F,P$4,MOVIMIENTOS!$J:$J,$C29)</f>
        <v>1000</v>
      </c>
      <c r="Q29" s="16" t="n">
        <f aca="false">SUMIFS(MOVIMIENTOS!$I:$I,MOVIMIENTOS!$D:$D,"Aporte",MOVIMIENTOS!$E:$E,"Extraordinaria",MOVIMIENTOS!$F:$F,Q$4,MOVIMIENTOS!$J:$J,$C29)</f>
        <v>2000</v>
      </c>
      <c r="R29" s="5" t="n">
        <f aca="false">SUMIFS(MOVIMIENTOS!$I:$I,MOVIMIENTOS!$D:$D,"Aporte",MOVIMIENTOS!$E:$E,"Extraordinaria",MOVIMIENTOS!$F:$F,R$4,MOVIMIENTOS!$J:$J,$C29)</f>
        <v>2000</v>
      </c>
      <c r="S29" s="5" t="n">
        <f aca="false">SUMIFS(MOVIMIENTOS!$I:$I,MOVIMIENTOS!$D:$D,"Aporte",MOVIMIENTOS!$E:$E,"Extraordinaria",MOVIMIENTOS!$F:$F,S$4,MOVIMIENTOS!$J:$J,$C29)</f>
        <v>0</v>
      </c>
      <c r="T29" s="5" t="n">
        <f aca="false">SUMIFS(MOVIMIENTOS!$I:$I,MOVIMIENTOS!$D:$D,"Aporte",MOVIMIENTOS!$E:$E,"Extraordinaria",MOVIMIENTOS!$F:$F,T$4,MOVIMIENTOS!$J:$J,$C29)</f>
        <v>0</v>
      </c>
      <c r="U29" s="5" t="n">
        <f aca="false">SUMIFS(MOVIMIENTOS!$I:$I,MOVIMIENTOS!$D:$D,"Aporte",MOVIMIENTOS!$E:$E,"Extraordinaria",MOVIMIENTOS!$F:$F,U$4,MOVIMIENTOS!$J:$J,$C29)</f>
        <v>1000</v>
      </c>
      <c r="V29" s="5" t="n">
        <f aca="false">SUMIFS(MOVIMIENTOS!$I:$I,MOVIMIENTOS!$D:$D,"Aporte",MOVIMIENTOS!$E:$E,"Extraordinaria",MOVIMIENTOS!$F:$F,V$4,MOVIMIENTOS!$J:$J,$C29)</f>
        <v>0</v>
      </c>
      <c r="W29" s="5" t="n">
        <f aca="false">SUM(P29:V29)</f>
        <v>6000</v>
      </c>
      <c r="X29" s="5" t="n">
        <f aca="false">O29+W29</f>
        <v>21000</v>
      </c>
      <c r="Y29" s="9"/>
    </row>
    <row r="30" customFormat="false" ht="15" hidden="false" customHeight="false" outlineLevel="0" collapsed="false">
      <c r="A30" s="9" t="n">
        <v>26</v>
      </c>
      <c r="B30" s="9" t="s">
        <v>152</v>
      </c>
      <c r="C30" s="9" t="s">
        <v>153</v>
      </c>
      <c r="D30" s="9" t="s">
        <v>154</v>
      </c>
      <c r="E30" s="5" t="n">
        <f aca="false">SUMIFS(MOVIMIENTOS!$I:$I,MOVIMIENTOS!$D:$D,"Aporte",MOVIMIENTOS!$E:$E,"Anual",MOVIMIENTOS!$J:$J,$C30,MOVIMIENTOS!$B:$B,"&gt;="&amp;DATE(2026,3,1),MOVIMIENTOS!$B:$B,"&lt;"&amp;DATE(2026,4,1))</f>
        <v>3000</v>
      </c>
      <c r="F30" s="5" t="n">
        <f aca="false">SUMIFS(MOVIMIENTOS!$I:$I,MOVIMIENTOS!$D:$D,"Aporte",MOVIMIENTOS!$E:$E,"Anual",MOVIMIENTOS!$J:$J,$C30,MOVIMIENTOS!$B:$B,"&gt;="&amp;DATE(2026,4,1),MOVIMIENTOS!$B:$B,"&lt;"&amp;DATE(2026,5,1))</f>
        <v>3000</v>
      </c>
      <c r="G30" s="5" t="n">
        <f aca="false">SUMIFS(MOVIMIENTOS!$I:$I,MOVIMIENTOS!$D:$D,"Aporte",MOVIMIENTOS!$E:$E,"Anual",MOVIMIENTOS!$J:$J,$C30,MOVIMIENTOS!$B:$B,"&gt;="&amp;DATE(2026,5,1),MOVIMIENTOS!$B:$B,"&lt;"&amp;DATE(2026,6,1))</f>
        <v>3000</v>
      </c>
      <c r="H30" s="5" t="n">
        <f aca="false">SUMIFS(MOVIMIENTOS!$I:$I,MOVIMIENTOS!$D:$D,"Aporte",MOVIMIENTOS!$E:$E,"Anual",MOVIMIENTOS!$J:$J,$C30,MOVIMIENTOS!$B:$B,"&gt;="&amp;DATE(2026,6,1),MOVIMIENTOS!$B:$B,"&lt;"&amp;DATE(2026,7,1))</f>
        <v>3000</v>
      </c>
      <c r="I30" s="5" t="n">
        <f aca="false">SUMIFS(MOVIMIENTOS!$I:$I,MOVIMIENTOS!$D:$D,"Aporte",MOVIMIENTOS!$E:$E,"Anual",MOVIMIENTOS!$J:$J,$C30,MOVIMIENTOS!$B:$B,"&gt;="&amp;DATE(2026,7,1),MOVIMIENTOS!$B:$B,"&lt;"&amp;DATE(2026,8,1))</f>
        <v>3000</v>
      </c>
      <c r="J30" s="5" t="n">
        <f aca="false">SUMIFS(MOVIMIENTOS!$I:$I,MOVIMIENTOS!$D:$D,"Aporte",MOVIMIENTOS!$E:$E,"Anual",MOVIMIENTOS!$J:$J,$C30,MOVIMIENTOS!$B:$B,"&gt;="&amp;DATE(2026,8,1),MOVIMIENTOS!$B:$B,"&lt;"&amp;DATE(2026,9,1))</f>
        <v>3000</v>
      </c>
      <c r="K30" s="5" t="n">
        <f aca="false">SUMIFS(MOVIMIENTOS!$I:$I,MOVIMIENTOS!$D:$D,"Aporte",MOVIMIENTOS!$E:$E,"Anual",MOVIMIENTOS!$J:$J,$C30,MOVIMIENTOS!$B:$B,"&gt;="&amp;DATE(2026,9,1),MOVIMIENTOS!$B:$B,"&lt;"&amp;DATE(2026,10,1))</f>
        <v>0</v>
      </c>
      <c r="L30" s="5" t="n">
        <f aca="false">SUMIFS(MOVIMIENTOS!$I:$I,MOVIMIENTOS!$D:$D,"Aporte",MOVIMIENTOS!$E:$E,"Anual",MOVIMIENTOS!$J:$J,$C30,MOVIMIENTOS!$B:$B,"&gt;="&amp;DATE(2026,10,1),MOVIMIENTOS!$B:$B,"&lt;"&amp;DATE(2026,11,1))</f>
        <v>0</v>
      </c>
      <c r="M30" s="5" t="n">
        <f aca="false">SUMIFS(MOVIMIENTOS!$I:$I,MOVIMIENTOS!$D:$D,"Aporte",MOVIMIENTOS!$E:$E,"Anual",MOVIMIENTOS!$J:$J,$C30,MOVIMIENTOS!$B:$B,"&gt;="&amp;DATE(2026,11,1),MOVIMIENTOS!$B:$B,"&lt;"&amp;DATE(2026,12,1))</f>
        <v>0</v>
      </c>
      <c r="N30" s="5" t="n">
        <f aca="false">SUMIFS(MOVIMIENTOS!$I:$I,MOVIMIENTOS!$D:$D,"Aporte",MOVIMIENTOS!$E:$E,"Anual",MOVIMIENTOS!$J:$J,$C30,MOVIMIENTOS!$B:$B,"&gt;="&amp;DATE(2026,12,1),MOVIMIENTOS!$B:$B,"&lt;"&amp;DATE(2026,13,1))</f>
        <v>0</v>
      </c>
      <c r="O30" s="5" t="n">
        <f aca="false">SUM(E30:N30)</f>
        <v>18000</v>
      </c>
      <c r="P30" s="5" t="n">
        <f aca="false">SUMIFS(MOVIMIENTOS!$I:$I,MOVIMIENTOS!$D:$D,"Aporte",MOVIMIENTOS!$E:$E,"Extraordinaria",MOVIMIENTOS!$F:$F,P$4,MOVIMIENTOS!$J:$J,$C30)</f>
        <v>1000</v>
      </c>
      <c r="Q30" s="5" t="n">
        <f aca="false">SUMIFS(MOVIMIENTOS!$I:$I,MOVIMIENTOS!$D:$D,"Aporte",MOVIMIENTOS!$E:$E,"Extraordinaria",MOVIMIENTOS!$F:$F,Q$4,MOVIMIENTOS!$J:$J,$C30)</f>
        <v>2000</v>
      </c>
      <c r="R30" s="5" t="n">
        <f aca="false">SUMIFS(MOVIMIENTOS!$I:$I,MOVIMIENTOS!$D:$D,"Aporte",MOVIMIENTOS!$E:$E,"Extraordinaria",MOVIMIENTOS!$F:$F,R$4,MOVIMIENTOS!$J:$J,$C30)</f>
        <v>0</v>
      </c>
      <c r="S30" s="5" t="n">
        <f aca="false">SUMIFS(MOVIMIENTOS!$I:$I,MOVIMIENTOS!$D:$D,"Aporte",MOVIMIENTOS!$E:$E,"Extraordinaria",MOVIMIENTOS!$F:$F,S$4,MOVIMIENTOS!$J:$J,$C30)</f>
        <v>0</v>
      </c>
      <c r="T30" s="5" t="n">
        <f aca="false">SUMIFS(MOVIMIENTOS!$I:$I,MOVIMIENTOS!$D:$D,"Aporte",MOVIMIENTOS!$E:$E,"Extraordinaria",MOVIMIENTOS!$F:$F,T$4,MOVIMIENTOS!$J:$J,$C30)</f>
        <v>0</v>
      </c>
      <c r="U30" s="5" t="n">
        <f aca="false">SUMIFS(MOVIMIENTOS!$I:$I,MOVIMIENTOS!$D:$D,"Aporte",MOVIMIENTOS!$E:$E,"Extraordinaria",MOVIMIENTOS!$F:$F,U$4,MOVIMIENTOS!$J:$J,$C30)</f>
        <v>0</v>
      </c>
      <c r="V30" s="5" t="n">
        <f aca="false">SUMIFS(MOVIMIENTOS!$I:$I,MOVIMIENTOS!$D:$D,"Aporte",MOVIMIENTOS!$E:$E,"Extraordinaria",MOVIMIENTOS!$F:$F,V$4,MOVIMIENTOS!$J:$J,$C30)</f>
        <v>0</v>
      </c>
      <c r="W30" s="5" t="n">
        <f aca="false">SUM(P30:V30)</f>
        <v>3000</v>
      </c>
      <c r="X30" s="5" t="n">
        <f aca="false">O30+W30</f>
        <v>21000</v>
      </c>
      <c r="Y30" s="9"/>
    </row>
    <row r="31" customFormat="false" ht="15" hidden="false" customHeight="false" outlineLevel="0" collapsed="false">
      <c r="A31" s="9" t="n">
        <v>27</v>
      </c>
      <c r="B31" s="9" t="s">
        <v>155</v>
      </c>
      <c r="C31" s="9" t="s">
        <v>156</v>
      </c>
      <c r="D31" s="9" t="s">
        <v>157</v>
      </c>
      <c r="E31" s="5" t="n">
        <f aca="false">SUMIFS(MOVIMIENTOS!$I:$I,MOVIMIENTOS!$D:$D,"Aporte",MOVIMIENTOS!$E:$E,"Anual",MOVIMIENTOS!$J:$J,$C31,MOVIMIENTOS!$B:$B,"&gt;="&amp;DATE(2026,3,1),MOVIMIENTOS!$B:$B,"&lt;"&amp;DATE(2026,4,1))</f>
        <v>3000</v>
      </c>
      <c r="F31" s="5" t="n">
        <f aca="false">SUMIFS(MOVIMIENTOS!$I:$I,MOVIMIENTOS!$D:$D,"Aporte",MOVIMIENTOS!$E:$E,"Anual",MOVIMIENTOS!$J:$J,$C31,MOVIMIENTOS!$B:$B,"&gt;="&amp;DATE(2026,4,1),MOVIMIENTOS!$B:$B,"&lt;"&amp;DATE(2026,5,1))</f>
        <v>3000</v>
      </c>
      <c r="G31" s="5" t="n">
        <f aca="false">SUMIFS(MOVIMIENTOS!$I:$I,MOVIMIENTOS!$D:$D,"Aporte",MOVIMIENTOS!$E:$E,"Anual",MOVIMIENTOS!$J:$J,$C31,MOVIMIENTOS!$B:$B,"&gt;="&amp;DATE(2026,5,1),MOVIMIENTOS!$B:$B,"&lt;"&amp;DATE(2026,6,1))</f>
        <v>3000</v>
      </c>
      <c r="H31" s="5" t="n">
        <f aca="false">SUMIFS(MOVIMIENTOS!$I:$I,MOVIMIENTOS!$D:$D,"Aporte",MOVIMIENTOS!$E:$E,"Anual",MOVIMIENTOS!$J:$J,$C31,MOVIMIENTOS!$B:$B,"&gt;="&amp;DATE(2026,6,1),MOVIMIENTOS!$B:$B,"&lt;"&amp;DATE(2026,7,1))</f>
        <v>3000</v>
      </c>
      <c r="I31" s="5" t="n">
        <f aca="false">SUMIFS(MOVIMIENTOS!$I:$I,MOVIMIENTOS!$D:$D,"Aporte",MOVIMIENTOS!$E:$E,"Anual",MOVIMIENTOS!$J:$J,$C31,MOVIMIENTOS!$B:$B,"&gt;="&amp;DATE(2026,7,1),MOVIMIENTOS!$B:$B,"&lt;"&amp;DATE(2026,8,1))</f>
        <v>3000</v>
      </c>
      <c r="J31" s="5" t="n">
        <f aca="false">SUMIFS(MOVIMIENTOS!$I:$I,MOVIMIENTOS!$D:$D,"Aporte",MOVIMIENTOS!$E:$E,"Anual",MOVIMIENTOS!$J:$J,$C31,MOVIMIENTOS!$B:$B,"&gt;="&amp;DATE(2026,8,1),MOVIMIENTOS!$B:$B,"&lt;"&amp;DATE(2026,9,1))</f>
        <v>3000</v>
      </c>
      <c r="K31" s="5" t="n">
        <f aca="false">SUMIFS(MOVIMIENTOS!$I:$I,MOVIMIENTOS!$D:$D,"Aporte",MOVIMIENTOS!$E:$E,"Anual",MOVIMIENTOS!$J:$J,$C31,MOVIMIENTOS!$B:$B,"&gt;="&amp;DATE(2026,9,1),MOVIMIENTOS!$B:$B,"&lt;"&amp;DATE(2026,10,1))</f>
        <v>3000</v>
      </c>
      <c r="L31" s="5" t="n">
        <f aca="false">SUMIFS(MOVIMIENTOS!$I:$I,MOVIMIENTOS!$D:$D,"Aporte",MOVIMIENTOS!$E:$E,"Anual",MOVIMIENTOS!$J:$J,$C31,MOVIMIENTOS!$B:$B,"&gt;="&amp;DATE(2026,10,1),MOVIMIENTOS!$B:$B,"&lt;"&amp;DATE(2026,11,1))</f>
        <v>3000</v>
      </c>
      <c r="M31" s="5" t="n">
        <f aca="false">SUMIFS(MOVIMIENTOS!$I:$I,MOVIMIENTOS!$D:$D,"Aporte",MOVIMIENTOS!$E:$E,"Anual",MOVIMIENTOS!$J:$J,$C31,MOVIMIENTOS!$B:$B,"&gt;="&amp;DATE(2026,11,1),MOVIMIENTOS!$B:$B,"&lt;"&amp;DATE(2026,12,1))</f>
        <v>3000</v>
      </c>
      <c r="N31" s="5" t="n">
        <f aca="false">SUMIFS(MOVIMIENTOS!$I:$I,MOVIMIENTOS!$D:$D,"Aporte",MOVIMIENTOS!$E:$E,"Anual",MOVIMIENTOS!$J:$J,$C31,MOVIMIENTOS!$B:$B,"&gt;="&amp;DATE(2026,12,1),MOVIMIENTOS!$B:$B,"&lt;"&amp;DATE(2026,13,1))</f>
        <v>3000</v>
      </c>
      <c r="O31" s="5" t="n">
        <f aca="false">SUM(E31:N31)</f>
        <v>30000</v>
      </c>
      <c r="P31" s="16" t="n">
        <f aca="false">SUMIFS(MOVIMIENTOS!$I:$I,MOVIMIENTOS!$D:$D,"Aporte",MOVIMIENTOS!$E:$E,"Extraordinaria",MOVIMIENTOS!$F:$F,P$4,MOVIMIENTOS!$J:$J,$C31)</f>
        <v>1000</v>
      </c>
      <c r="Q31" s="16" t="n">
        <f aca="false">SUMIFS(MOVIMIENTOS!$I:$I,MOVIMIENTOS!$D:$D,"Aporte",MOVIMIENTOS!$E:$E,"Extraordinaria",MOVIMIENTOS!$F:$F,Q$4,MOVIMIENTOS!$J:$J,$C31)</f>
        <v>2000</v>
      </c>
      <c r="R31" s="5" t="n">
        <f aca="false">SUMIFS(MOVIMIENTOS!$I:$I,MOVIMIENTOS!$D:$D,"Aporte",MOVIMIENTOS!$E:$E,"Extraordinaria",MOVIMIENTOS!$F:$F,R$4,MOVIMIENTOS!$J:$J,$C31)</f>
        <v>2000</v>
      </c>
      <c r="S31" s="5" t="n">
        <f aca="false">SUMIFS(MOVIMIENTOS!$I:$I,MOVIMIENTOS!$D:$D,"Aporte",MOVIMIENTOS!$E:$E,"Extraordinaria",MOVIMIENTOS!$F:$F,S$4,MOVIMIENTOS!$J:$J,$C31)</f>
        <v>0</v>
      </c>
      <c r="T31" s="5" t="n">
        <f aca="false">SUMIFS(MOVIMIENTOS!$I:$I,MOVIMIENTOS!$D:$D,"Aporte",MOVIMIENTOS!$E:$E,"Extraordinaria",MOVIMIENTOS!$F:$F,T$4,MOVIMIENTOS!$J:$J,$C31)</f>
        <v>0</v>
      </c>
      <c r="U31" s="5" t="n">
        <f aca="false">SUMIFS(MOVIMIENTOS!$I:$I,MOVIMIENTOS!$D:$D,"Aporte",MOVIMIENTOS!$E:$E,"Extraordinaria",MOVIMIENTOS!$F:$F,U$4,MOVIMIENTOS!$J:$J,$C31)</f>
        <v>0</v>
      </c>
      <c r="V31" s="5" t="n">
        <f aca="false">SUMIFS(MOVIMIENTOS!$I:$I,MOVIMIENTOS!$D:$D,"Aporte",MOVIMIENTOS!$E:$E,"Extraordinaria",MOVIMIENTOS!$F:$F,V$4,MOVIMIENTOS!$J:$J,$C31)</f>
        <v>0</v>
      </c>
      <c r="W31" s="5" t="n">
        <f aca="false">SUM(P31:V31)</f>
        <v>5000</v>
      </c>
      <c r="X31" s="5" t="n">
        <f aca="false">O31+W31</f>
        <v>35000</v>
      </c>
      <c r="Y31" s="9"/>
    </row>
    <row r="32" customFormat="false" ht="15" hidden="false" customHeight="false" outlineLevel="0" collapsed="false">
      <c r="A32" s="9" t="n">
        <v>28</v>
      </c>
      <c r="B32" s="9" t="s">
        <v>158</v>
      </c>
      <c r="C32" s="9" t="s">
        <v>159</v>
      </c>
      <c r="D32" s="9"/>
      <c r="E32" s="5" t="n">
        <f aca="false">SUMIFS(MOVIMIENTOS!$I:$I,MOVIMIENTOS!$D:$D,"Aporte",MOVIMIENTOS!$E:$E,"Anual",MOVIMIENTOS!$J:$J,$C32,MOVIMIENTOS!$B:$B,"&gt;="&amp;DATE(2026,3,1),MOVIMIENTOS!$B:$B,"&lt;"&amp;DATE(2026,4,1))</f>
        <v>0</v>
      </c>
      <c r="F32" s="5" t="n">
        <f aca="false">SUMIFS(MOVIMIENTOS!$I:$I,MOVIMIENTOS!$D:$D,"Aporte",MOVIMIENTOS!$E:$E,"Anual",MOVIMIENTOS!$J:$J,$C32,MOVIMIENTOS!$B:$B,"&gt;="&amp;DATE(2026,4,1),MOVIMIENTOS!$B:$B,"&lt;"&amp;DATE(2026,5,1))</f>
        <v>0</v>
      </c>
      <c r="G32" s="5" t="n">
        <f aca="false">SUMIFS(MOVIMIENTOS!$I:$I,MOVIMIENTOS!$D:$D,"Aporte",MOVIMIENTOS!$E:$E,"Anual",MOVIMIENTOS!$J:$J,$C32,MOVIMIENTOS!$B:$B,"&gt;="&amp;DATE(2026,5,1),MOVIMIENTOS!$B:$B,"&lt;"&amp;DATE(2026,6,1))</f>
        <v>0</v>
      </c>
      <c r="H32" s="5" t="n">
        <f aca="false">SUMIFS(MOVIMIENTOS!$I:$I,MOVIMIENTOS!$D:$D,"Aporte",MOVIMIENTOS!$E:$E,"Anual",MOVIMIENTOS!$J:$J,$C32,MOVIMIENTOS!$B:$B,"&gt;="&amp;DATE(2026,6,1),MOVIMIENTOS!$B:$B,"&lt;"&amp;DATE(2026,7,1))</f>
        <v>0</v>
      </c>
      <c r="I32" s="5" t="n">
        <f aca="false">SUMIFS(MOVIMIENTOS!$I:$I,MOVIMIENTOS!$D:$D,"Aporte",MOVIMIENTOS!$E:$E,"Anual",MOVIMIENTOS!$J:$J,$C32,MOVIMIENTOS!$B:$B,"&gt;="&amp;DATE(2026,7,1),MOVIMIENTOS!$B:$B,"&lt;"&amp;DATE(2026,8,1))</f>
        <v>0</v>
      </c>
      <c r="J32" s="5" t="n">
        <f aca="false">SUMIFS(MOVIMIENTOS!$I:$I,MOVIMIENTOS!$D:$D,"Aporte",MOVIMIENTOS!$E:$E,"Anual",MOVIMIENTOS!$J:$J,$C32,MOVIMIENTOS!$B:$B,"&gt;="&amp;DATE(2026,8,1),MOVIMIENTOS!$B:$B,"&lt;"&amp;DATE(2026,9,1))</f>
        <v>0</v>
      </c>
      <c r="K32" s="5" t="n">
        <f aca="false">SUMIFS(MOVIMIENTOS!$I:$I,MOVIMIENTOS!$D:$D,"Aporte",MOVIMIENTOS!$E:$E,"Anual",MOVIMIENTOS!$J:$J,$C32,MOVIMIENTOS!$B:$B,"&gt;="&amp;DATE(2026,9,1),MOVIMIENTOS!$B:$B,"&lt;"&amp;DATE(2026,10,1))</f>
        <v>0</v>
      </c>
      <c r="L32" s="5" t="n">
        <f aca="false">SUMIFS(MOVIMIENTOS!$I:$I,MOVIMIENTOS!$D:$D,"Aporte",MOVIMIENTOS!$E:$E,"Anual",MOVIMIENTOS!$J:$J,$C32,MOVIMIENTOS!$B:$B,"&gt;="&amp;DATE(2026,10,1),MOVIMIENTOS!$B:$B,"&lt;"&amp;DATE(2026,11,1))</f>
        <v>0</v>
      </c>
      <c r="M32" s="5" t="n">
        <f aca="false">SUMIFS(MOVIMIENTOS!$I:$I,MOVIMIENTOS!$D:$D,"Aporte",MOVIMIENTOS!$E:$E,"Anual",MOVIMIENTOS!$J:$J,$C32,MOVIMIENTOS!$B:$B,"&gt;="&amp;DATE(2026,11,1),MOVIMIENTOS!$B:$B,"&lt;"&amp;DATE(2026,12,1))</f>
        <v>0</v>
      </c>
      <c r="N32" s="5" t="n">
        <f aca="false">SUMIFS(MOVIMIENTOS!$I:$I,MOVIMIENTOS!$D:$D,"Aporte",MOVIMIENTOS!$E:$E,"Anual",MOVIMIENTOS!$J:$J,$C32,MOVIMIENTOS!$B:$B,"&gt;="&amp;DATE(2026,12,1),MOVIMIENTOS!$B:$B,"&lt;"&amp;DATE(2026,13,1))</f>
        <v>0</v>
      </c>
      <c r="O32" s="5" t="n">
        <f aca="false">SUM(E32:N32)</f>
        <v>0</v>
      </c>
      <c r="P32" s="16" t="n">
        <f aca="false">SUMIFS(MOVIMIENTOS!$I:$I,MOVIMIENTOS!$D:$D,"Aporte",MOVIMIENTOS!$E:$E,"Extraordinaria",MOVIMIENTOS!$F:$F,P$4,MOVIMIENTOS!$J:$J,$C32)</f>
        <v>1000</v>
      </c>
      <c r="Q32" s="16" t="n">
        <f aca="false">SUMIFS(MOVIMIENTOS!$I:$I,MOVIMIENTOS!$D:$D,"Aporte",MOVIMIENTOS!$E:$E,"Extraordinaria",MOVIMIENTOS!$F:$F,Q$4,MOVIMIENTOS!$J:$J,$C32)</f>
        <v>2000</v>
      </c>
      <c r="R32" s="5" t="n">
        <f aca="false">SUMIFS(MOVIMIENTOS!$I:$I,MOVIMIENTOS!$D:$D,"Aporte",MOVIMIENTOS!$E:$E,"Extraordinaria",MOVIMIENTOS!$F:$F,R$4,MOVIMIENTOS!$J:$J,$C32)</f>
        <v>2000</v>
      </c>
      <c r="S32" s="5" t="n">
        <f aca="false">SUMIFS(MOVIMIENTOS!$I:$I,MOVIMIENTOS!$D:$D,"Aporte",MOVIMIENTOS!$E:$E,"Extraordinaria",MOVIMIENTOS!$F:$F,S$4,MOVIMIENTOS!$J:$J,$C32)</f>
        <v>0</v>
      </c>
      <c r="T32" s="5" t="n">
        <f aca="false">SUMIFS(MOVIMIENTOS!$I:$I,MOVIMIENTOS!$D:$D,"Aporte",MOVIMIENTOS!$E:$E,"Extraordinaria",MOVIMIENTOS!$F:$F,T$4,MOVIMIENTOS!$J:$J,$C32)</f>
        <v>0</v>
      </c>
      <c r="U32" s="5" t="n">
        <f aca="false">SUMIFS(MOVIMIENTOS!$I:$I,MOVIMIENTOS!$D:$D,"Aporte",MOVIMIENTOS!$E:$E,"Extraordinaria",MOVIMIENTOS!$F:$F,U$4,MOVIMIENTOS!$J:$J,$C32)</f>
        <v>0</v>
      </c>
      <c r="V32" s="5" t="n">
        <f aca="false">SUMIFS(MOVIMIENTOS!$I:$I,MOVIMIENTOS!$D:$D,"Aporte",MOVIMIENTOS!$E:$E,"Extraordinaria",MOVIMIENTOS!$F:$F,V$4,MOVIMIENTOS!$J:$J,$C32)</f>
        <v>0</v>
      </c>
      <c r="W32" s="5" t="n">
        <f aca="false">SUM(P32:V32)</f>
        <v>5000</v>
      </c>
      <c r="X32" s="5" t="n">
        <f aca="false">O32+W32</f>
        <v>5000</v>
      </c>
      <c r="Y32" s="9"/>
    </row>
    <row r="33" customFormat="false" ht="15" hidden="false" customHeight="false" outlineLevel="0" collapsed="false">
      <c r="A33" s="9" t="n">
        <v>29</v>
      </c>
      <c r="B33" s="9" t="s">
        <v>160</v>
      </c>
      <c r="C33" s="9" t="s">
        <v>161</v>
      </c>
      <c r="D33" s="9" t="s">
        <v>162</v>
      </c>
      <c r="E33" s="5" t="n">
        <f aca="false">SUMIFS(MOVIMIENTOS!$I:$I,MOVIMIENTOS!$D:$D,"Aporte",MOVIMIENTOS!$E:$E,"Anual",MOVIMIENTOS!$J:$J,$C33,MOVIMIENTOS!$B:$B,"&gt;="&amp;DATE(2026,3,1),MOVIMIENTOS!$B:$B,"&lt;"&amp;DATE(2026,4,1))</f>
        <v>3000</v>
      </c>
      <c r="F33" s="5" t="n">
        <f aca="false">SUMIFS(MOVIMIENTOS!$I:$I,MOVIMIENTOS!$D:$D,"Aporte",MOVIMIENTOS!$E:$E,"Anual",MOVIMIENTOS!$J:$J,$C33,MOVIMIENTOS!$B:$B,"&gt;="&amp;DATE(2026,4,1),MOVIMIENTOS!$B:$B,"&lt;"&amp;DATE(2026,5,1))</f>
        <v>3000</v>
      </c>
      <c r="G33" s="5" t="n">
        <f aca="false">SUMIFS(MOVIMIENTOS!$I:$I,MOVIMIENTOS!$D:$D,"Aporte",MOVIMIENTOS!$E:$E,"Anual",MOVIMIENTOS!$J:$J,$C33,MOVIMIENTOS!$B:$B,"&gt;="&amp;DATE(2026,5,1),MOVIMIENTOS!$B:$B,"&lt;"&amp;DATE(2026,6,1))</f>
        <v>3000</v>
      </c>
      <c r="H33" s="5" t="n">
        <f aca="false">SUMIFS(MOVIMIENTOS!$I:$I,MOVIMIENTOS!$D:$D,"Aporte",MOVIMIENTOS!$E:$E,"Anual",MOVIMIENTOS!$J:$J,$C33,MOVIMIENTOS!$B:$B,"&gt;="&amp;DATE(2026,6,1),MOVIMIENTOS!$B:$B,"&lt;"&amp;DATE(2026,7,1))</f>
        <v>0</v>
      </c>
      <c r="I33" s="5" t="n">
        <f aca="false">SUMIFS(MOVIMIENTOS!$I:$I,MOVIMIENTOS!$D:$D,"Aporte",MOVIMIENTOS!$E:$E,"Anual",MOVIMIENTOS!$J:$J,$C33,MOVIMIENTOS!$B:$B,"&gt;="&amp;DATE(2026,7,1),MOVIMIENTOS!$B:$B,"&lt;"&amp;DATE(2026,8,1))</f>
        <v>0</v>
      </c>
      <c r="J33" s="5" t="n">
        <f aca="false">SUMIFS(MOVIMIENTOS!$I:$I,MOVIMIENTOS!$D:$D,"Aporte",MOVIMIENTOS!$E:$E,"Anual",MOVIMIENTOS!$J:$J,$C33,MOVIMIENTOS!$B:$B,"&gt;="&amp;DATE(2026,8,1),MOVIMIENTOS!$B:$B,"&lt;"&amp;DATE(2026,9,1))</f>
        <v>0</v>
      </c>
      <c r="K33" s="5" t="n">
        <f aca="false">SUMIFS(MOVIMIENTOS!$I:$I,MOVIMIENTOS!$D:$D,"Aporte",MOVIMIENTOS!$E:$E,"Anual",MOVIMIENTOS!$J:$J,$C33,MOVIMIENTOS!$B:$B,"&gt;="&amp;DATE(2026,9,1),MOVIMIENTOS!$B:$B,"&lt;"&amp;DATE(2026,10,1))</f>
        <v>0</v>
      </c>
      <c r="L33" s="5" t="n">
        <f aca="false">SUMIFS(MOVIMIENTOS!$I:$I,MOVIMIENTOS!$D:$D,"Aporte",MOVIMIENTOS!$E:$E,"Anual",MOVIMIENTOS!$J:$J,$C33,MOVIMIENTOS!$B:$B,"&gt;="&amp;DATE(2026,10,1),MOVIMIENTOS!$B:$B,"&lt;"&amp;DATE(2026,11,1))</f>
        <v>0</v>
      </c>
      <c r="M33" s="5" t="n">
        <f aca="false">SUMIFS(MOVIMIENTOS!$I:$I,MOVIMIENTOS!$D:$D,"Aporte",MOVIMIENTOS!$E:$E,"Anual",MOVIMIENTOS!$J:$J,$C33,MOVIMIENTOS!$B:$B,"&gt;="&amp;DATE(2026,11,1),MOVIMIENTOS!$B:$B,"&lt;"&amp;DATE(2026,12,1))</f>
        <v>0</v>
      </c>
      <c r="N33" s="5" t="n">
        <f aca="false">SUMIFS(MOVIMIENTOS!$I:$I,MOVIMIENTOS!$D:$D,"Aporte",MOVIMIENTOS!$E:$E,"Anual",MOVIMIENTOS!$J:$J,$C33,MOVIMIENTOS!$B:$B,"&gt;="&amp;DATE(2026,12,1),MOVIMIENTOS!$B:$B,"&lt;"&amp;DATE(2026,13,1))</f>
        <v>0</v>
      </c>
      <c r="O33" s="5" t="n">
        <f aca="false">SUM(E33:N33)</f>
        <v>9000</v>
      </c>
      <c r="P33" s="5" t="n">
        <f aca="false">SUMIFS(MOVIMIENTOS!$I:$I,MOVIMIENTOS!$D:$D,"Aporte",MOVIMIENTOS!$E:$E,"Extraordinaria",MOVIMIENTOS!$F:$F,P$4,MOVIMIENTOS!$J:$J,$C33)</f>
        <v>1000</v>
      </c>
      <c r="Q33" s="16" t="n">
        <f aca="false">SUMIFS(MOVIMIENTOS!$I:$I,MOVIMIENTOS!$D:$D,"Aporte",MOVIMIENTOS!$E:$E,"Extraordinaria",MOVIMIENTOS!$F:$F,Q$4,MOVIMIENTOS!$J:$J,$C33)</f>
        <v>2000</v>
      </c>
      <c r="R33" s="5" t="n">
        <f aca="false">SUMIFS(MOVIMIENTOS!$I:$I,MOVIMIENTOS!$D:$D,"Aporte",MOVIMIENTOS!$E:$E,"Extraordinaria",MOVIMIENTOS!$F:$F,R$4,MOVIMIENTOS!$J:$J,$C33)</f>
        <v>2000</v>
      </c>
      <c r="S33" s="5" t="n">
        <f aca="false">SUMIFS(MOVIMIENTOS!$I:$I,MOVIMIENTOS!$D:$D,"Aporte",MOVIMIENTOS!$E:$E,"Extraordinaria",MOVIMIENTOS!$F:$F,S$4,MOVIMIENTOS!$J:$J,$C33)</f>
        <v>0</v>
      </c>
      <c r="T33" s="5" t="n">
        <f aca="false">SUMIFS(MOVIMIENTOS!$I:$I,MOVIMIENTOS!$D:$D,"Aporte",MOVIMIENTOS!$E:$E,"Extraordinaria",MOVIMIENTOS!$F:$F,T$4,MOVIMIENTOS!$J:$J,$C33)</f>
        <v>0</v>
      </c>
      <c r="U33" s="5" t="n">
        <f aca="false">SUMIFS(MOVIMIENTOS!$I:$I,MOVIMIENTOS!$D:$D,"Aporte",MOVIMIENTOS!$E:$E,"Extraordinaria",MOVIMIENTOS!$F:$F,U$4,MOVIMIENTOS!$J:$J,$C33)</f>
        <v>0</v>
      </c>
      <c r="V33" s="5" t="n">
        <f aca="false">SUMIFS(MOVIMIENTOS!$I:$I,MOVIMIENTOS!$D:$D,"Aporte",MOVIMIENTOS!$E:$E,"Extraordinaria",MOVIMIENTOS!$F:$F,V$4,MOVIMIENTOS!$J:$J,$C33)</f>
        <v>0</v>
      </c>
      <c r="W33" s="5" t="n">
        <f aca="false">SUM(P33:V33)</f>
        <v>5000</v>
      </c>
      <c r="X33" s="5" t="n">
        <f aca="false">O33+W33</f>
        <v>14000</v>
      </c>
      <c r="Y33" s="9"/>
    </row>
    <row r="34" customFormat="false" ht="15" hidden="false" customHeight="false" outlineLevel="0" collapsed="false">
      <c r="A34" s="9" t="n">
        <v>30</v>
      </c>
      <c r="B34" s="9" t="s">
        <v>163</v>
      </c>
      <c r="C34" s="9" t="s">
        <v>164</v>
      </c>
      <c r="D34" s="9" t="s">
        <v>165</v>
      </c>
      <c r="E34" s="5" t="n">
        <f aca="false">SUMIFS(MOVIMIENTOS!$I:$I,MOVIMIENTOS!$D:$D,"Aporte",MOVIMIENTOS!$E:$E,"Anual",MOVIMIENTOS!$J:$J,$C34,MOVIMIENTOS!$B:$B,"&gt;="&amp;DATE(2026,3,1),MOVIMIENTOS!$B:$B,"&lt;"&amp;DATE(2026,4,1))</f>
        <v>3000</v>
      </c>
      <c r="F34" s="5" t="n">
        <f aca="false">SUMIFS(MOVIMIENTOS!$I:$I,MOVIMIENTOS!$D:$D,"Aporte",MOVIMIENTOS!$E:$E,"Anual",MOVIMIENTOS!$J:$J,$C34,MOVIMIENTOS!$B:$B,"&gt;="&amp;DATE(2026,4,1),MOVIMIENTOS!$B:$B,"&lt;"&amp;DATE(2026,5,1))</f>
        <v>3000</v>
      </c>
      <c r="G34" s="5" t="n">
        <f aca="false">SUMIFS(MOVIMIENTOS!$I:$I,MOVIMIENTOS!$D:$D,"Aporte",MOVIMIENTOS!$E:$E,"Anual",MOVIMIENTOS!$J:$J,$C34,MOVIMIENTOS!$B:$B,"&gt;="&amp;DATE(2026,5,1),MOVIMIENTOS!$B:$B,"&lt;"&amp;DATE(2026,6,1))</f>
        <v>3000</v>
      </c>
      <c r="H34" s="5" t="n">
        <f aca="false">SUMIFS(MOVIMIENTOS!$I:$I,MOVIMIENTOS!$D:$D,"Aporte",MOVIMIENTOS!$E:$E,"Anual",MOVIMIENTOS!$J:$J,$C34,MOVIMIENTOS!$B:$B,"&gt;="&amp;DATE(2026,6,1),MOVIMIENTOS!$B:$B,"&lt;"&amp;DATE(2026,7,1))</f>
        <v>3000</v>
      </c>
      <c r="I34" s="5" t="n">
        <f aca="false">SUMIFS(MOVIMIENTOS!$I:$I,MOVIMIENTOS!$D:$D,"Aporte",MOVIMIENTOS!$E:$E,"Anual",MOVIMIENTOS!$J:$J,$C34,MOVIMIENTOS!$B:$B,"&gt;="&amp;DATE(2026,7,1),MOVIMIENTOS!$B:$B,"&lt;"&amp;DATE(2026,8,1))</f>
        <v>3000</v>
      </c>
      <c r="J34" s="5" t="n">
        <f aca="false">SUMIFS(MOVIMIENTOS!$I:$I,MOVIMIENTOS!$D:$D,"Aporte",MOVIMIENTOS!$E:$E,"Anual",MOVIMIENTOS!$J:$J,$C34,MOVIMIENTOS!$B:$B,"&gt;="&amp;DATE(2026,8,1),MOVIMIENTOS!$B:$B,"&lt;"&amp;DATE(2026,9,1))</f>
        <v>0</v>
      </c>
      <c r="K34" s="5" t="n">
        <f aca="false">SUMIFS(MOVIMIENTOS!$I:$I,MOVIMIENTOS!$D:$D,"Aporte",MOVIMIENTOS!$E:$E,"Anual",MOVIMIENTOS!$J:$J,$C34,MOVIMIENTOS!$B:$B,"&gt;="&amp;DATE(2026,9,1),MOVIMIENTOS!$B:$B,"&lt;"&amp;DATE(2026,10,1))</f>
        <v>0</v>
      </c>
      <c r="L34" s="5" t="n">
        <f aca="false">SUMIFS(MOVIMIENTOS!$I:$I,MOVIMIENTOS!$D:$D,"Aporte",MOVIMIENTOS!$E:$E,"Anual",MOVIMIENTOS!$J:$J,$C34,MOVIMIENTOS!$B:$B,"&gt;="&amp;DATE(2026,10,1),MOVIMIENTOS!$B:$B,"&lt;"&amp;DATE(2026,11,1))</f>
        <v>0</v>
      </c>
      <c r="M34" s="5" t="n">
        <f aca="false">SUMIFS(MOVIMIENTOS!$I:$I,MOVIMIENTOS!$D:$D,"Aporte",MOVIMIENTOS!$E:$E,"Anual",MOVIMIENTOS!$J:$J,$C34,MOVIMIENTOS!$B:$B,"&gt;="&amp;DATE(2026,11,1),MOVIMIENTOS!$B:$B,"&lt;"&amp;DATE(2026,12,1))</f>
        <v>0</v>
      </c>
      <c r="N34" s="5" t="n">
        <f aca="false">SUMIFS(MOVIMIENTOS!$I:$I,MOVIMIENTOS!$D:$D,"Aporte",MOVIMIENTOS!$E:$E,"Anual",MOVIMIENTOS!$J:$J,$C34,MOVIMIENTOS!$B:$B,"&gt;="&amp;DATE(2026,12,1),MOVIMIENTOS!$B:$B,"&lt;"&amp;DATE(2026,13,1))</f>
        <v>0</v>
      </c>
      <c r="O34" s="5" t="n">
        <f aca="false">SUM(E34:N34)</f>
        <v>15000</v>
      </c>
      <c r="P34" s="5" t="n">
        <f aca="false">SUMIFS(MOVIMIENTOS!$I:$I,MOVIMIENTOS!$D:$D,"Aporte",MOVIMIENTOS!$E:$E,"Extraordinaria",MOVIMIENTOS!$F:$F,P$4,MOVIMIENTOS!$J:$J,$C34)</f>
        <v>1000</v>
      </c>
      <c r="Q34" s="5" t="n">
        <f aca="false">SUMIFS(MOVIMIENTOS!$I:$I,MOVIMIENTOS!$D:$D,"Aporte",MOVIMIENTOS!$E:$E,"Extraordinaria",MOVIMIENTOS!$F:$F,Q$4,MOVIMIENTOS!$J:$J,$C34)</f>
        <v>2000</v>
      </c>
      <c r="R34" s="5" t="n">
        <f aca="false">SUMIFS(MOVIMIENTOS!$I:$I,MOVIMIENTOS!$D:$D,"Aporte",MOVIMIENTOS!$E:$E,"Extraordinaria",MOVIMIENTOS!$F:$F,R$4,MOVIMIENTOS!$J:$J,$C34)</f>
        <v>2000</v>
      </c>
      <c r="S34" s="5" t="n">
        <f aca="false">SUMIFS(MOVIMIENTOS!$I:$I,MOVIMIENTOS!$D:$D,"Aporte",MOVIMIENTOS!$E:$E,"Extraordinaria",MOVIMIENTOS!$F:$F,S$4,MOVIMIENTOS!$J:$J,$C34)</f>
        <v>0</v>
      </c>
      <c r="T34" s="5" t="n">
        <f aca="false">SUMIFS(MOVIMIENTOS!$I:$I,MOVIMIENTOS!$D:$D,"Aporte",MOVIMIENTOS!$E:$E,"Extraordinaria",MOVIMIENTOS!$F:$F,T$4,MOVIMIENTOS!$J:$J,$C34)</f>
        <v>0</v>
      </c>
      <c r="U34" s="5" t="n">
        <f aca="false">SUMIFS(MOVIMIENTOS!$I:$I,MOVIMIENTOS!$D:$D,"Aporte",MOVIMIENTOS!$E:$E,"Extraordinaria",MOVIMIENTOS!$F:$F,U$4,MOVIMIENTOS!$J:$J,$C34)</f>
        <v>0</v>
      </c>
      <c r="V34" s="5" t="n">
        <f aca="false">SUMIFS(MOVIMIENTOS!$I:$I,MOVIMIENTOS!$D:$D,"Aporte",MOVIMIENTOS!$E:$E,"Extraordinaria",MOVIMIENTOS!$F:$F,V$4,MOVIMIENTOS!$J:$J,$C34)</f>
        <v>0</v>
      </c>
      <c r="W34" s="5" t="n">
        <f aca="false">SUM(P34:V34)</f>
        <v>5000</v>
      </c>
      <c r="X34" s="5" t="n">
        <f aca="false">O34+W34</f>
        <v>20000</v>
      </c>
      <c r="Y34" s="9"/>
    </row>
    <row r="35" customFormat="false" ht="15" hidden="false" customHeight="false" outlineLevel="0" collapsed="false">
      <c r="A35" s="9" t="n">
        <v>31</v>
      </c>
      <c r="B35" s="9" t="s">
        <v>166</v>
      </c>
      <c r="C35" s="9" t="s">
        <v>167</v>
      </c>
      <c r="D35" s="9"/>
      <c r="E35" s="5" t="n">
        <f aca="false">SUMIFS(MOVIMIENTOS!$I:$I,MOVIMIENTOS!$D:$D,"Aporte",MOVIMIENTOS!$E:$E,"Anual",MOVIMIENTOS!$J:$J,$C35,MOVIMIENTOS!$B:$B,"&gt;="&amp;DATE(2026,3,1),MOVIMIENTOS!$B:$B,"&lt;"&amp;DATE(2026,4,1))</f>
        <v>0</v>
      </c>
      <c r="F35" s="5" t="n">
        <f aca="false">SUMIFS(MOVIMIENTOS!$I:$I,MOVIMIENTOS!$D:$D,"Aporte",MOVIMIENTOS!$E:$E,"Anual",MOVIMIENTOS!$J:$J,$C35,MOVIMIENTOS!$B:$B,"&gt;="&amp;DATE(2026,4,1),MOVIMIENTOS!$B:$B,"&lt;"&amp;DATE(2026,5,1))</f>
        <v>0</v>
      </c>
      <c r="G35" s="5" t="n">
        <f aca="false">SUMIFS(MOVIMIENTOS!$I:$I,MOVIMIENTOS!$D:$D,"Aporte",MOVIMIENTOS!$E:$E,"Anual",MOVIMIENTOS!$J:$J,$C35,MOVIMIENTOS!$B:$B,"&gt;="&amp;DATE(2026,5,1),MOVIMIENTOS!$B:$B,"&lt;"&amp;DATE(2026,6,1))</f>
        <v>0</v>
      </c>
      <c r="H35" s="5" t="n">
        <f aca="false">SUMIFS(MOVIMIENTOS!$I:$I,MOVIMIENTOS!$D:$D,"Aporte",MOVIMIENTOS!$E:$E,"Anual",MOVIMIENTOS!$J:$J,$C35,MOVIMIENTOS!$B:$B,"&gt;="&amp;DATE(2026,6,1),MOVIMIENTOS!$B:$B,"&lt;"&amp;DATE(2026,7,1))</f>
        <v>0</v>
      </c>
      <c r="I35" s="5" t="n">
        <f aca="false">SUMIFS(MOVIMIENTOS!$I:$I,MOVIMIENTOS!$D:$D,"Aporte",MOVIMIENTOS!$E:$E,"Anual",MOVIMIENTOS!$J:$J,$C35,MOVIMIENTOS!$B:$B,"&gt;="&amp;DATE(2026,7,1),MOVIMIENTOS!$B:$B,"&lt;"&amp;DATE(2026,8,1))</f>
        <v>0</v>
      </c>
      <c r="J35" s="5" t="n">
        <f aca="false">SUMIFS(MOVIMIENTOS!$I:$I,MOVIMIENTOS!$D:$D,"Aporte",MOVIMIENTOS!$E:$E,"Anual",MOVIMIENTOS!$J:$J,$C35,MOVIMIENTOS!$B:$B,"&gt;="&amp;DATE(2026,8,1),MOVIMIENTOS!$B:$B,"&lt;"&amp;DATE(2026,9,1))</f>
        <v>0</v>
      </c>
      <c r="K35" s="5" t="n">
        <f aca="false">SUMIFS(MOVIMIENTOS!$I:$I,MOVIMIENTOS!$D:$D,"Aporte",MOVIMIENTOS!$E:$E,"Anual",MOVIMIENTOS!$J:$J,$C35,MOVIMIENTOS!$B:$B,"&gt;="&amp;DATE(2026,9,1),MOVIMIENTOS!$B:$B,"&lt;"&amp;DATE(2026,10,1))</f>
        <v>0</v>
      </c>
      <c r="L35" s="5" t="n">
        <f aca="false">SUMIFS(MOVIMIENTOS!$I:$I,MOVIMIENTOS!$D:$D,"Aporte",MOVIMIENTOS!$E:$E,"Anual",MOVIMIENTOS!$J:$J,$C35,MOVIMIENTOS!$B:$B,"&gt;="&amp;DATE(2026,10,1),MOVIMIENTOS!$B:$B,"&lt;"&amp;DATE(2026,11,1))</f>
        <v>0</v>
      </c>
      <c r="M35" s="5" t="n">
        <f aca="false">SUMIFS(MOVIMIENTOS!$I:$I,MOVIMIENTOS!$D:$D,"Aporte",MOVIMIENTOS!$E:$E,"Anual",MOVIMIENTOS!$J:$J,$C35,MOVIMIENTOS!$B:$B,"&gt;="&amp;DATE(2026,11,1),MOVIMIENTOS!$B:$B,"&lt;"&amp;DATE(2026,12,1))</f>
        <v>0</v>
      </c>
      <c r="N35" s="5" t="n">
        <f aca="false">SUMIFS(MOVIMIENTOS!$I:$I,MOVIMIENTOS!$D:$D,"Aporte",MOVIMIENTOS!$E:$E,"Anual",MOVIMIENTOS!$J:$J,$C35,MOVIMIENTOS!$B:$B,"&gt;="&amp;DATE(2026,12,1),MOVIMIENTOS!$B:$B,"&lt;"&amp;DATE(2026,13,1))</f>
        <v>0</v>
      </c>
      <c r="O35" s="5" t="n">
        <f aca="false">SUM(E35:N35)</f>
        <v>0</v>
      </c>
      <c r="P35" s="5" t="n">
        <f aca="false">SUMIFS(MOVIMIENTOS!$I:$I,MOVIMIENTOS!$D:$D,"Aporte",MOVIMIENTOS!$E:$E,"Extraordinaria",MOVIMIENTOS!$F:$F,P$4,MOVIMIENTOS!$J:$J,$C35)</f>
        <v>0</v>
      </c>
      <c r="Q35" s="5" t="n">
        <f aca="false">SUMIFS(MOVIMIENTOS!$I:$I,MOVIMIENTOS!$D:$D,"Aporte",MOVIMIENTOS!$E:$E,"Extraordinaria",MOVIMIENTOS!$F:$F,Q$4,MOVIMIENTOS!$J:$J,$C35)</f>
        <v>0</v>
      </c>
      <c r="R35" s="5" t="n">
        <f aca="false">SUMIFS(MOVIMIENTOS!$I:$I,MOVIMIENTOS!$D:$D,"Aporte",MOVIMIENTOS!$E:$E,"Extraordinaria",MOVIMIENTOS!$F:$F,R$4,MOVIMIENTOS!$J:$J,$C35)</f>
        <v>0</v>
      </c>
      <c r="S35" s="5" t="n">
        <f aca="false">SUMIFS(MOVIMIENTOS!$I:$I,MOVIMIENTOS!$D:$D,"Aporte",MOVIMIENTOS!$E:$E,"Extraordinaria",MOVIMIENTOS!$F:$F,S$4,MOVIMIENTOS!$J:$J,$C35)</f>
        <v>0</v>
      </c>
      <c r="T35" s="5" t="n">
        <f aca="false">SUMIFS(MOVIMIENTOS!$I:$I,MOVIMIENTOS!$D:$D,"Aporte",MOVIMIENTOS!$E:$E,"Extraordinaria",MOVIMIENTOS!$F:$F,T$4,MOVIMIENTOS!$J:$J,$C35)</f>
        <v>0</v>
      </c>
      <c r="U35" s="5" t="n">
        <f aca="false">SUMIFS(MOVIMIENTOS!$I:$I,MOVIMIENTOS!$D:$D,"Aporte",MOVIMIENTOS!$E:$E,"Extraordinaria",MOVIMIENTOS!$F:$F,U$4,MOVIMIENTOS!$J:$J,$C35)</f>
        <v>0</v>
      </c>
      <c r="V35" s="5" t="n">
        <f aca="false">SUMIFS(MOVIMIENTOS!$I:$I,MOVIMIENTOS!$D:$D,"Aporte",MOVIMIENTOS!$E:$E,"Extraordinaria",MOVIMIENTOS!$F:$F,V$4,MOVIMIENTOS!$J:$J,$C35)</f>
        <v>0</v>
      </c>
      <c r="W35" s="5" t="n">
        <f aca="false">SUM(P35:V35)</f>
        <v>0</v>
      </c>
      <c r="X35" s="5" t="n">
        <f aca="false">O35+W35</f>
        <v>0</v>
      </c>
      <c r="Y35" s="9"/>
    </row>
    <row r="36" customFormat="false" ht="15" hidden="false" customHeight="false" outlineLevel="0" collapsed="false">
      <c r="A36" s="9" t="n">
        <v>32</v>
      </c>
      <c r="B36" s="9"/>
      <c r="C36" s="9" t="s">
        <v>168</v>
      </c>
      <c r="D36" s="9"/>
      <c r="E36" s="5" t="n">
        <f aca="false">SUMIFS(MOVIMIENTOS!$I:$I,MOVIMIENTOS!$D:$D,"Aporte",MOVIMIENTOS!$E:$E,"Anual",MOVIMIENTOS!$J:$J,$C36,MOVIMIENTOS!$B:$B,"&gt;="&amp;DATE(2026,3,1),MOVIMIENTOS!$B:$B,"&lt;"&amp;DATE(2026,4,1))</f>
        <v>3000</v>
      </c>
      <c r="F36" s="5" t="n">
        <f aca="false">SUMIFS(MOVIMIENTOS!$I:$I,MOVIMIENTOS!$D:$D,"Aporte",MOVIMIENTOS!$E:$E,"Anual",MOVIMIENTOS!$J:$J,$C36,MOVIMIENTOS!$B:$B,"&gt;="&amp;DATE(2026,4,1),MOVIMIENTOS!$B:$B,"&lt;"&amp;DATE(2026,5,1))</f>
        <v>3000</v>
      </c>
      <c r="G36" s="5" t="n">
        <f aca="false">SUMIFS(MOVIMIENTOS!$I:$I,MOVIMIENTOS!$D:$D,"Aporte",MOVIMIENTOS!$E:$E,"Anual",MOVIMIENTOS!$J:$J,$C36,MOVIMIENTOS!$B:$B,"&gt;="&amp;DATE(2026,5,1),MOVIMIENTOS!$B:$B,"&lt;"&amp;DATE(2026,6,1))</f>
        <v>3000</v>
      </c>
      <c r="H36" s="5" t="n">
        <f aca="false">SUMIFS(MOVIMIENTOS!$I:$I,MOVIMIENTOS!$D:$D,"Aporte",MOVIMIENTOS!$E:$E,"Anual",MOVIMIENTOS!$J:$J,$C36,MOVIMIENTOS!$B:$B,"&gt;="&amp;DATE(2026,6,1),MOVIMIENTOS!$B:$B,"&lt;"&amp;DATE(2026,7,1))</f>
        <v>3000</v>
      </c>
      <c r="I36" s="5" t="n">
        <f aca="false">SUMIFS(MOVIMIENTOS!$I:$I,MOVIMIENTOS!$D:$D,"Aporte",MOVIMIENTOS!$E:$E,"Anual",MOVIMIENTOS!$J:$J,$C36,MOVIMIENTOS!$B:$B,"&gt;="&amp;DATE(2026,7,1),MOVIMIENTOS!$B:$B,"&lt;"&amp;DATE(2026,8,1))</f>
        <v>0</v>
      </c>
      <c r="J36" s="5" t="n">
        <f aca="false">SUMIFS(MOVIMIENTOS!$I:$I,MOVIMIENTOS!$D:$D,"Aporte",MOVIMIENTOS!$E:$E,"Anual",MOVIMIENTOS!$J:$J,$C36,MOVIMIENTOS!$B:$B,"&gt;="&amp;DATE(2026,8,1),MOVIMIENTOS!$B:$B,"&lt;"&amp;DATE(2026,9,1))</f>
        <v>0</v>
      </c>
      <c r="K36" s="5" t="n">
        <f aca="false">SUMIFS(MOVIMIENTOS!$I:$I,MOVIMIENTOS!$D:$D,"Aporte",MOVIMIENTOS!$E:$E,"Anual",MOVIMIENTOS!$J:$J,$C36,MOVIMIENTOS!$B:$B,"&gt;="&amp;DATE(2026,9,1),MOVIMIENTOS!$B:$B,"&lt;"&amp;DATE(2026,10,1))</f>
        <v>0</v>
      </c>
      <c r="L36" s="5" t="n">
        <f aca="false">SUMIFS(MOVIMIENTOS!$I:$I,MOVIMIENTOS!$D:$D,"Aporte",MOVIMIENTOS!$E:$E,"Anual",MOVIMIENTOS!$J:$J,$C36,MOVIMIENTOS!$B:$B,"&gt;="&amp;DATE(2026,10,1),MOVIMIENTOS!$B:$B,"&lt;"&amp;DATE(2026,11,1))</f>
        <v>0</v>
      </c>
      <c r="M36" s="5" t="n">
        <f aca="false">SUMIFS(MOVIMIENTOS!$I:$I,MOVIMIENTOS!$D:$D,"Aporte",MOVIMIENTOS!$E:$E,"Anual",MOVIMIENTOS!$J:$J,$C36,MOVIMIENTOS!$B:$B,"&gt;="&amp;DATE(2026,11,1),MOVIMIENTOS!$B:$B,"&lt;"&amp;DATE(2026,12,1))</f>
        <v>0</v>
      </c>
      <c r="N36" s="5" t="n">
        <f aca="false">SUMIFS(MOVIMIENTOS!$I:$I,MOVIMIENTOS!$D:$D,"Aporte",MOVIMIENTOS!$E:$E,"Anual",MOVIMIENTOS!$J:$J,$C36,MOVIMIENTOS!$B:$B,"&gt;="&amp;DATE(2026,12,1),MOVIMIENTOS!$B:$B,"&lt;"&amp;DATE(2026,13,1))</f>
        <v>0</v>
      </c>
      <c r="O36" s="5" t="n">
        <f aca="false">SUM(E36:N36)</f>
        <v>12000</v>
      </c>
      <c r="P36" s="5" t="n">
        <f aca="false">SUMIFS(MOVIMIENTOS!$I:$I,MOVIMIENTOS!$D:$D,"Aporte",MOVIMIENTOS!$E:$E,"Extraordinaria",MOVIMIENTOS!$F:$F,P$4,MOVIMIENTOS!$J:$J,$C36)</f>
        <v>1000</v>
      </c>
      <c r="Q36" s="5" t="n">
        <f aca="false">SUMIFS(MOVIMIENTOS!$I:$I,MOVIMIENTOS!$D:$D,"Aporte",MOVIMIENTOS!$E:$E,"Extraordinaria",MOVIMIENTOS!$F:$F,Q$4,MOVIMIENTOS!$J:$J,$C36)</f>
        <v>2000</v>
      </c>
      <c r="R36" s="5" t="n">
        <f aca="false">SUMIFS(MOVIMIENTOS!$I:$I,MOVIMIENTOS!$D:$D,"Aporte",MOVIMIENTOS!$E:$E,"Extraordinaria",MOVIMIENTOS!$F:$F,R$4,MOVIMIENTOS!$J:$J,$C36)</f>
        <v>2000</v>
      </c>
      <c r="S36" s="5" t="n">
        <f aca="false">SUMIFS(MOVIMIENTOS!$I:$I,MOVIMIENTOS!$D:$D,"Aporte",MOVIMIENTOS!$E:$E,"Extraordinaria",MOVIMIENTOS!$F:$F,S$4,MOVIMIENTOS!$J:$J,$C36)</f>
        <v>0</v>
      </c>
      <c r="T36" s="5" t="n">
        <f aca="false">SUMIFS(MOVIMIENTOS!$I:$I,MOVIMIENTOS!$D:$D,"Aporte",MOVIMIENTOS!$E:$E,"Extraordinaria",MOVIMIENTOS!$F:$F,T$4,MOVIMIENTOS!$J:$J,$C36)</f>
        <v>0</v>
      </c>
      <c r="U36" s="5" t="n">
        <f aca="false">SUMIFS(MOVIMIENTOS!$I:$I,MOVIMIENTOS!$D:$D,"Aporte",MOVIMIENTOS!$E:$E,"Extraordinaria",MOVIMIENTOS!$F:$F,U$4,MOVIMIENTOS!$J:$J,$C36)</f>
        <v>0</v>
      </c>
      <c r="V36" s="5" t="n">
        <f aca="false">SUMIFS(MOVIMIENTOS!$I:$I,MOVIMIENTOS!$D:$D,"Aporte",MOVIMIENTOS!$E:$E,"Extraordinaria",MOVIMIENTOS!$F:$F,V$4,MOVIMIENTOS!$J:$J,$C36)</f>
        <v>0</v>
      </c>
      <c r="W36" s="5" t="n">
        <f aca="false">SUM(P36:V36)</f>
        <v>5000</v>
      </c>
      <c r="X36" s="5" t="n">
        <f aca="false">O36+W36</f>
        <v>17000</v>
      </c>
      <c r="Y36" s="9"/>
    </row>
    <row r="37" customFormat="false" ht="15" hidden="false" customHeight="false" outlineLevel="0" collapsed="false">
      <c r="A37" s="9" t="n">
        <v>33</v>
      </c>
      <c r="B37" s="9"/>
      <c r="C37" s="9" t="s">
        <v>169</v>
      </c>
      <c r="D37" s="9" t="s">
        <v>170</v>
      </c>
      <c r="E37" s="5" t="n">
        <f aca="false">SUMIFS(MOVIMIENTOS!$I:$I,MOVIMIENTOS!$D:$D,"Aporte",MOVIMIENTOS!$E:$E,"Anual",MOVIMIENTOS!$J:$J,$C37,MOVIMIENTOS!$B:$B,"&gt;="&amp;DATE(2026,3,1),MOVIMIENTOS!$B:$B,"&lt;"&amp;DATE(2026,4,1))</f>
        <v>3000</v>
      </c>
      <c r="F37" s="5" t="n">
        <f aca="false">SUMIFS(MOVIMIENTOS!$I:$I,MOVIMIENTOS!$D:$D,"Aporte",MOVIMIENTOS!$E:$E,"Anual",MOVIMIENTOS!$J:$J,$C37,MOVIMIENTOS!$B:$B,"&gt;="&amp;DATE(2026,4,1),MOVIMIENTOS!$B:$B,"&lt;"&amp;DATE(2026,5,1))</f>
        <v>3000</v>
      </c>
      <c r="G37" s="5" t="n">
        <f aca="false">SUMIFS(MOVIMIENTOS!$I:$I,MOVIMIENTOS!$D:$D,"Aporte",MOVIMIENTOS!$E:$E,"Anual",MOVIMIENTOS!$J:$J,$C37,MOVIMIENTOS!$B:$B,"&gt;="&amp;DATE(2026,5,1),MOVIMIENTOS!$B:$B,"&lt;"&amp;DATE(2026,6,1))</f>
        <v>3000</v>
      </c>
      <c r="H37" s="5" t="n">
        <f aca="false">SUMIFS(MOVIMIENTOS!$I:$I,MOVIMIENTOS!$D:$D,"Aporte",MOVIMIENTOS!$E:$E,"Anual",MOVIMIENTOS!$J:$J,$C37,MOVIMIENTOS!$B:$B,"&gt;="&amp;DATE(2026,6,1),MOVIMIENTOS!$B:$B,"&lt;"&amp;DATE(2026,7,1))</f>
        <v>3000</v>
      </c>
      <c r="I37" s="5" t="n">
        <f aca="false">SUMIFS(MOVIMIENTOS!$I:$I,MOVIMIENTOS!$D:$D,"Aporte",MOVIMIENTOS!$E:$E,"Anual",MOVIMIENTOS!$J:$J,$C37,MOVIMIENTOS!$B:$B,"&gt;="&amp;DATE(2026,7,1),MOVIMIENTOS!$B:$B,"&lt;"&amp;DATE(2026,8,1))</f>
        <v>0</v>
      </c>
      <c r="J37" s="5" t="n">
        <f aca="false">SUMIFS(MOVIMIENTOS!$I:$I,MOVIMIENTOS!$D:$D,"Aporte",MOVIMIENTOS!$E:$E,"Anual",MOVIMIENTOS!$J:$J,$C37,MOVIMIENTOS!$B:$B,"&gt;="&amp;DATE(2026,8,1),MOVIMIENTOS!$B:$B,"&lt;"&amp;DATE(2026,9,1))</f>
        <v>0</v>
      </c>
      <c r="K37" s="5" t="n">
        <f aca="false">SUMIFS(MOVIMIENTOS!$I:$I,MOVIMIENTOS!$D:$D,"Aporte",MOVIMIENTOS!$E:$E,"Anual",MOVIMIENTOS!$J:$J,$C37,MOVIMIENTOS!$B:$B,"&gt;="&amp;DATE(2026,9,1),MOVIMIENTOS!$B:$B,"&lt;"&amp;DATE(2026,10,1))</f>
        <v>0</v>
      </c>
      <c r="L37" s="5" t="n">
        <f aca="false">SUMIFS(MOVIMIENTOS!$I:$I,MOVIMIENTOS!$D:$D,"Aporte",MOVIMIENTOS!$E:$E,"Anual",MOVIMIENTOS!$J:$J,$C37,MOVIMIENTOS!$B:$B,"&gt;="&amp;DATE(2026,10,1),MOVIMIENTOS!$B:$B,"&lt;"&amp;DATE(2026,11,1))</f>
        <v>0</v>
      </c>
      <c r="M37" s="5" t="n">
        <f aca="false">SUMIFS(MOVIMIENTOS!$I:$I,MOVIMIENTOS!$D:$D,"Aporte",MOVIMIENTOS!$E:$E,"Anual",MOVIMIENTOS!$J:$J,$C37,MOVIMIENTOS!$B:$B,"&gt;="&amp;DATE(2026,11,1),MOVIMIENTOS!$B:$B,"&lt;"&amp;DATE(2026,12,1))</f>
        <v>0</v>
      </c>
      <c r="N37" s="5" t="n">
        <f aca="false">SUMIFS(MOVIMIENTOS!$I:$I,MOVIMIENTOS!$D:$D,"Aporte",MOVIMIENTOS!$E:$E,"Anual",MOVIMIENTOS!$J:$J,$C37,MOVIMIENTOS!$B:$B,"&gt;="&amp;DATE(2026,12,1),MOVIMIENTOS!$B:$B,"&lt;"&amp;DATE(2026,13,1))</f>
        <v>0</v>
      </c>
      <c r="O37" s="5" t="n">
        <f aca="false">SUM(E37:N37)</f>
        <v>12000</v>
      </c>
      <c r="P37" s="5" t="n">
        <f aca="false">SUMIFS(MOVIMIENTOS!$I:$I,MOVIMIENTOS!$D:$D,"Aporte",MOVIMIENTOS!$E:$E,"Extraordinaria",MOVIMIENTOS!$F:$F,P$4,MOVIMIENTOS!$J:$J,$C37)</f>
        <v>1000</v>
      </c>
      <c r="Q37" s="5" t="n">
        <f aca="false">SUMIFS(MOVIMIENTOS!$I:$I,MOVIMIENTOS!$D:$D,"Aporte",MOVIMIENTOS!$E:$E,"Extraordinaria",MOVIMIENTOS!$F:$F,Q$4,MOVIMIENTOS!$J:$J,$C37)</f>
        <v>2000</v>
      </c>
      <c r="R37" s="5" t="n">
        <f aca="false">SUMIFS(MOVIMIENTOS!$I:$I,MOVIMIENTOS!$D:$D,"Aporte",MOVIMIENTOS!$E:$E,"Extraordinaria",MOVIMIENTOS!$F:$F,R$4,MOVIMIENTOS!$J:$J,$C37)</f>
        <v>0</v>
      </c>
      <c r="S37" s="5" t="n">
        <f aca="false">SUMIFS(MOVIMIENTOS!$I:$I,MOVIMIENTOS!$D:$D,"Aporte",MOVIMIENTOS!$E:$E,"Extraordinaria",MOVIMIENTOS!$F:$F,S$4,MOVIMIENTOS!$J:$J,$C37)</f>
        <v>0</v>
      </c>
      <c r="T37" s="5" t="n">
        <f aca="false">SUMIFS(MOVIMIENTOS!$I:$I,MOVIMIENTOS!$D:$D,"Aporte",MOVIMIENTOS!$E:$E,"Extraordinaria",MOVIMIENTOS!$F:$F,T$4,MOVIMIENTOS!$J:$J,$C37)</f>
        <v>0</v>
      </c>
      <c r="U37" s="5" t="n">
        <f aca="false">SUMIFS(MOVIMIENTOS!$I:$I,MOVIMIENTOS!$D:$D,"Aporte",MOVIMIENTOS!$E:$E,"Extraordinaria",MOVIMIENTOS!$F:$F,U$4,MOVIMIENTOS!$J:$J,$C37)</f>
        <v>1000</v>
      </c>
      <c r="V37" s="5" t="n">
        <f aca="false">SUMIFS(MOVIMIENTOS!$I:$I,MOVIMIENTOS!$D:$D,"Aporte",MOVIMIENTOS!$E:$E,"Extraordinaria",MOVIMIENTOS!$F:$F,V$4,MOVIMIENTOS!$J:$J,$C37)</f>
        <v>0</v>
      </c>
      <c r="W37" s="5" t="n">
        <f aca="false">SUM(P37:V37)</f>
        <v>4000</v>
      </c>
      <c r="X37" s="5" t="n">
        <f aca="false">O37+W37</f>
        <v>16000</v>
      </c>
      <c r="Y37" s="9"/>
    </row>
    <row r="38" customFormat="false" ht="15" hidden="false" customHeight="false" outlineLevel="0" collapsed="false">
      <c r="A38" s="9" t="n">
        <v>34</v>
      </c>
      <c r="B38" s="9"/>
      <c r="C38" s="9" t="s">
        <v>171</v>
      </c>
      <c r="D38" s="9" t="s">
        <v>172</v>
      </c>
      <c r="E38" s="5" t="n">
        <f aca="false">SUMIFS(MOVIMIENTOS!$I:$I,MOVIMIENTOS!$D:$D,"Aporte",MOVIMIENTOS!$E:$E,"Anual",MOVIMIENTOS!$J:$J,$C38,MOVIMIENTOS!$B:$B,"&gt;="&amp;DATE(2026,3,1),MOVIMIENTOS!$B:$B,"&lt;"&amp;DATE(2026,4,1))</f>
        <v>0</v>
      </c>
      <c r="F38" s="5" t="n">
        <f aca="false">SUMIFS(MOVIMIENTOS!$I:$I,MOVIMIENTOS!$D:$D,"Aporte",MOVIMIENTOS!$E:$E,"Anual",MOVIMIENTOS!$J:$J,$C38,MOVIMIENTOS!$B:$B,"&gt;="&amp;DATE(2026,4,1),MOVIMIENTOS!$B:$B,"&lt;"&amp;DATE(2026,5,1))</f>
        <v>0</v>
      </c>
      <c r="G38" s="5" t="n">
        <f aca="false">SUMIFS(MOVIMIENTOS!$I:$I,MOVIMIENTOS!$D:$D,"Aporte",MOVIMIENTOS!$E:$E,"Anual",MOVIMIENTOS!$J:$J,$C38,MOVIMIENTOS!$B:$B,"&gt;="&amp;DATE(2026,5,1),MOVIMIENTOS!$B:$B,"&lt;"&amp;DATE(2026,6,1))</f>
        <v>0</v>
      </c>
      <c r="H38" s="5" t="n">
        <f aca="false">SUMIFS(MOVIMIENTOS!$I:$I,MOVIMIENTOS!$D:$D,"Aporte",MOVIMIENTOS!$E:$E,"Anual",MOVIMIENTOS!$J:$J,$C38,MOVIMIENTOS!$B:$B,"&gt;="&amp;DATE(2026,6,1),MOVIMIENTOS!$B:$B,"&lt;"&amp;DATE(2026,7,1))</f>
        <v>0</v>
      </c>
      <c r="I38" s="5" t="n">
        <f aca="false">SUMIFS(MOVIMIENTOS!$I:$I,MOVIMIENTOS!$D:$D,"Aporte",MOVIMIENTOS!$E:$E,"Anual",MOVIMIENTOS!$J:$J,$C38,MOVIMIENTOS!$B:$B,"&gt;="&amp;DATE(2026,7,1),MOVIMIENTOS!$B:$B,"&lt;"&amp;DATE(2026,8,1))</f>
        <v>0</v>
      </c>
      <c r="J38" s="5" t="n">
        <f aca="false">SUMIFS(MOVIMIENTOS!$I:$I,MOVIMIENTOS!$D:$D,"Aporte",MOVIMIENTOS!$E:$E,"Anual",MOVIMIENTOS!$J:$J,$C38,MOVIMIENTOS!$B:$B,"&gt;="&amp;DATE(2026,8,1),MOVIMIENTOS!$B:$B,"&lt;"&amp;DATE(2026,9,1))</f>
        <v>0</v>
      </c>
      <c r="K38" s="5" t="n">
        <f aca="false">SUMIFS(MOVIMIENTOS!$I:$I,MOVIMIENTOS!$D:$D,"Aporte",MOVIMIENTOS!$E:$E,"Anual",MOVIMIENTOS!$J:$J,$C38,MOVIMIENTOS!$B:$B,"&gt;="&amp;DATE(2026,9,1),MOVIMIENTOS!$B:$B,"&lt;"&amp;DATE(2026,10,1))</f>
        <v>0</v>
      </c>
      <c r="L38" s="5" t="n">
        <f aca="false">SUMIFS(MOVIMIENTOS!$I:$I,MOVIMIENTOS!$D:$D,"Aporte",MOVIMIENTOS!$E:$E,"Anual",MOVIMIENTOS!$J:$J,$C38,MOVIMIENTOS!$B:$B,"&gt;="&amp;DATE(2026,10,1),MOVIMIENTOS!$B:$B,"&lt;"&amp;DATE(2026,11,1))</f>
        <v>0</v>
      </c>
      <c r="M38" s="5" t="n">
        <f aca="false">SUMIFS(MOVIMIENTOS!$I:$I,MOVIMIENTOS!$D:$D,"Aporte",MOVIMIENTOS!$E:$E,"Anual",MOVIMIENTOS!$J:$J,$C38,MOVIMIENTOS!$B:$B,"&gt;="&amp;DATE(2026,11,1),MOVIMIENTOS!$B:$B,"&lt;"&amp;DATE(2026,12,1))</f>
        <v>0</v>
      </c>
      <c r="N38" s="5" t="n">
        <f aca="false">SUMIFS(MOVIMIENTOS!$I:$I,MOVIMIENTOS!$D:$D,"Aporte",MOVIMIENTOS!$E:$E,"Anual",MOVIMIENTOS!$J:$J,$C38,MOVIMIENTOS!$B:$B,"&gt;="&amp;DATE(2026,12,1),MOVIMIENTOS!$B:$B,"&lt;"&amp;DATE(2026,13,1))</f>
        <v>0</v>
      </c>
      <c r="O38" s="5" t="n">
        <f aca="false">SUM(E38:N38)</f>
        <v>0</v>
      </c>
      <c r="P38" s="5" t="n">
        <f aca="false">SUMIFS(MOVIMIENTOS!$I:$I,MOVIMIENTOS!$D:$D,"Aporte",MOVIMIENTOS!$E:$E,"Extraordinaria",MOVIMIENTOS!$F:$F,P$4,MOVIMIENTOS!$J:$J,$C38)</f>
        <v>1000</v>
      </c>
      <c r="Q38" s="5" t="n">
        <f aca="false">SUMIFS(MOVIMIENTOS!$I:$I,MOVIMIENTOS!$D:$D,"Aporte",MOVIMIENTOS!$E:$E,"Extraordinaria",MOVIMIENTOS!$F:$F,Q$4,MOVIMIENTOS!$J:$J,$C38)</f>
        <v>2000</v>
      </c>
      <c r="R38" s="5" t="n">
        <f aca="false">SUMIFS(MOVIMIENTOS!$I:$I,MOVIMIENTOS!$D:$D,"Aporte",MOVIMIENTOS!$E:$E,"Extraordinaria",MOVIMIENTOS!$F:$F,R$4,MOVIMIENTOS!$J:$J,$C38)</f>
        <v>2000</v>
      </c>
      <c r="S38" s="5" t="n">
        <f aca="false">SUMIFS(MOVIMIENTOS!$I:$I,MOVIMIENTOS!$D:$D,"Aporte",MOVIMIENTOS!$E:$E,"Extraordinaria",MOVIMIENTOS!$F:$F,S$4,MOVIMIENTOS!$J:$J,$C38)</f>
        <v>0</v>
      </c>
      <c r="T38" s="5" t="n">
        <f aca="false">SUMIFS(MOVIMIENTOS!$I:$I,MOVIMIENTOS!$D:$D,"Aporte",MOVIMIENTOS!$E:$E,"Extraordinaria",MOVIMIENTOS!$F:$F,T$4,MOVIMIENTOS!$J:$J,$C38)</f>
        <v>0</v>
      </c>
      <c r="U38" s="5" t="n">
        <f aca="false">SUMIFS(MOVIMIENTOS!$I:$I,MOVIMIENTOS!$D:$D,"Aporte",MOVIMIENTOS!$E:$E,"Extraordinaria",MOVIMIENTOS!$F:$F,U$4,MOVIMIENTOS!$J:$J,$C38)</f>
        <v>1500</v>
      </c>
      <c r="V38" s="5" t="n">
        <f aca="false">SUMIFS(MOVIMIENTOS!$I:$I,MOVIMIENTOS!$D:$D,"Aporte",MOVIMIENTOS!$E:$E,"Extraordinaria",MOVIMIENTOS!$F:$F,V$4,MOVIMIENTOS!$J:$J,$C38)</f>
        <v>0</v>
      </c>
      <c r="W38" s="5" t="n">
        <f aca="false">SUM(P38:V38)</f>
        <v>6500</v>
      </c>
      <c r="X38" s="5" t="n">
        <f aca="false">O38+W38</f>
        <v>6500</v>
      </c>
      <c r="Y38" s="9"/>
    </row>
    <row r="39" customFormat="false" ht="15" hidden="false" customHeight="false" outlineLevel="0" collapsed="false">
      <c r="A39" s="9" t="n">
        <v>35</v>
      </c>
      <c r="B39" s="9"/>
      <c r="C39" s="9" t="s">
        <v>173</v>
      </c>
      <c r="D39" s="9" t="s">
        <v>174</v>
      </c>
      <c r="E39" s="5" t="n">
        <f aca="false">SUMIFS(MOVIMIENTOS!$I:$I,MOVIMIENTOS!$D:$D,"Aporte",MOVIMIENTOS!$E:$E,"Anual",MOVIMIENTOS!$J:$J,$C39,MOVIMIENTOS!$B:$B,"&gt;="&amp;DATE(2026,3,1),MOVIMIENTOS!$B:$B,"&lt;"&amp;DATE(2026,4,1))</f>
        <v>0</v>
      </c>
      <c r="F39" s="5" t="n">
        <f aca="false">SUMIFS(MOVIMIENTOS!$I:$I,MOVIMIENTOS!$D:$D,"Aporte",MOVIMIENTOS!$E:$E,"Anual",MOVIMIENTOS!$J:$J,$C39,MOVIMIENTOS!$B:$B,"&gt;="&amp;DATE(2026,4,1),MOVIMIENTOS!$B:$B,"&lt;"&amp;DATE(2026,5,1))</f>
        <v>0</v>
      </c>
      <c r="G39" s="5" t="n">
        <f aca="false">SUMIFS(MOVIMIENTOS!$I:$I,MOVIMIENTOS!$D:$D,"Aporte",MOVIMIENTOS!$E:$E,"Anual",MOVIMIENTOS!$J:$J,$C39,MOVIMIENTOS!$B:$B,"&gt;="&amp;DATE(2026,5,1),MOVIMIENTOS!$B:$B,"&lt;"&amp;DATE(2026,6,1))</f>
        <v>0</v>
      </c>
      <c r="H39" s="5" t="n">
        <f aca="false">SUMIFS(MOVIMIENTOS!$I:$I,MOVIMIENTOS!$D:$D,"Aporte",MOVIMIENTOS!$E:$E,"Anual",MOVIMIENTOS!$J:$J,$C39,MOVIMIENTOS!$B:$B,"&gt;="&amp;DATE(2026,6,1),MOVIMIENTOS!$B:$B,"&lt;"&amp;DATE(2026,7,1))</f>
        <v>0</v>
      </c>
      <c r="I39" s="5" t="n">
        <f aca="false">SUMIFS(MOVIMIENTOS!$I:$I,MOVIMIENTOS!$D:$D,"Aporte",MOVIMIENTOS!$E:$E,"Anual",MOVIMIENTOS!$J:$J,$C39,MOVIMIENTOS!$B:$B,"&gt;="&amp;DATE(2026,7,1),MOVIMIENTOS!$B:$B,"&lt;"&amp;DATE(2026,8,1))</f>
        <v>0</v>
      </c>
      <c r="J39" s="5" t="n">
        <f aca="false">SUMIFS(MOVIMIENTOS!$I:$I,MOVIMIENTOS!$D:$D,"Aporte",MOVIMIENTOS!$E:$E,"Anual",MOVIMIENTOS!$J:$J,$C39,MOVIMIENTOS!$B:$B,"&gt;="&amp;DATE(2026,8,1),MOVIMIENTOS!$B:$B,"&lt;"&amp;DATE(2026,9,1))</f>
        <v>0</v>
      </c>
      <c r="K39" s="5" t="n">
        <f aca="false">SUMIFS(MOVIMIENTOS!$I:$I,MOVIMIENTOS!$D:$D,"Aporte",MOVIMIENTOS!$E:$E,"Anual",MOVIMIENTOS!$J:$J,$C39,MOVIMIENTOS!$B:$B,"&gt;="&amp;DATE(2026,9,1),MOVIMIENTOS!$B:$B,"&lt;"&amp;DATE(2026,10,1))</f>
        <v>0</v>
      </c>
      <c r="L39" s="5" t="n">
        <f aca="false">SUMIFS(MOVIMIENTOS!$I:$I,MOVIMIENTOS!$D:$D,"Aporte",MOVIMIENTOS!$E:$E,"Anual",MOVIMIENTOS!$J:$J,$C39,MOVIMIENTOS!$B:$B,"&gt;="&amp;DATE(2026,10,1),MOVIMIENTOS!$B:$B,"&lt;"&amp;DATE(2026,11,1))</f>
        <v>0</v>
      </c>
      <c r="M39" s="5" t="n">
        <f aca="false">SUMIFS(MOVIMIENTOS!$I:$I,MOVIMIENTOS!$D:$D,"Aporte",MOVIMIENTOS!$E:$E,"Anual",MOVIMIENTOS!$J:$J,$C39,MOVIMIENTOS!$B:$B,"&gt;="&amp;DATE(2026,11,1),MOVIMIENTOS!$B:$B,"&lt;"&amp;DATE(2026,12,1))</f>
        <v>0</v>
      </c>
      <c r="N39" s="5" t="n">
        <f aca="false">SUMIFS(MOVIMIENTOS!$I:$I,MOVIMIENTOS!$D:$D,"Aporte",MOVIMIENTOS!$E:$E,"Anual",MOVIMIENTOS!$J:$J,$C39,MOVIMIENTOS!$B:$B,"&gt;="&amp;DATE(2026,12,1),MOVIMIENTOS!$B:$B,"&lt;"&amp;DATE(2026,13,1))</f>
        <v>0</v>
      </c>
      <c r="O39" s="5" t="n">
        <f aca="false">SUM(E39:N39)</f>
        <v>0</v>
      </c>
      <c r="P39" s="5" t="n">
        <f aca="false">SUMIFS(MOVIMIENTOS!$I:$I,MOVIMIENTOS!$D:$D,"Aporte",MOVIMIENTOS!$E:$E,"Extraordinaria",MOVIMIENTOS!$F:$F,P$4,MOVIMIENTOS!$J:$J,$C39)</f>
        <v>0</v>
      </c>
      <c r="Q39" s="5" t="n">
        <f aca="false">SUMIFS(MOVIMIENTOS!$I:$I,MOVIMIENTOS!$D:$D,"Aporte",MOVIMIENTOS!$E:$E,"Extraordinaria",MOVIMIENTOS!$F:$F,Q$4,MOVIMIENTOS!$J:$J,$C39)</f>
        <v>2000</v>
      </c>
      <c r="R39" s="5" t="n">
        <f aca="false">SUMIFS(MOVIMIENTOS!$I:$I,MOVIMIENTOS!$D:$D,"Aporte",MOVIMIENTOS!$E:$E,"Extraordinaria",MOVIMIENTOS!$F:$F,R$4,MOVIMIENTOS!$J:$J,$C39)</f>
        <v>2000</v>
      </c>
      <c r="S39" s="5" t="n">
        <f aca="false">SUMIFS(MOVIMIENTOS!$I:$I,MOVIMIENTOS!$D:$D,"Aporte",MOVIMIENTOS!$E:$E,"Extraordinaria",MOVIMIENTOS!$F:$F,S$4,MOVIMIENTOS!$J:$J,$C39)</f>
        <v>0</v>
      </c>
      <c r="T39" s="5" t="n">
        <f aca="false">SUMIFS(MOVIMIENTOS!$I:$I,MOVIMIENTOS!$D:$D,"Aporte",MOVIMIENTOS!$E:$E,"Extraordinaria",MOVIMIENTOS!$F:$F,T$4,MOVIMIENTOS!$J:$J,$C39)</f>
        <v>0</v>
      </c>
      <c r="U39" s="5" t="n">
        <f aca="false">SUMIFS(MOVIMIENTOS!$I:$I,MOVIMIENTOS!$D:$D,"Aporte",MOVIMIENTOS!$E:$E,"Extraordinaria",MOVIMIENTOS!$F:$F,U$4,MOVIMIENTOS!$J:$J,$C39)</f>
        <v>1000</v>
      </c>
      <c r="V39" s="5" t="n">
        <f aca="false">SUMIFS(MOVIMIENTOS!$I:$I,MOVIMIENTOS!$D:$D,"Aporte",MOVIMIENTOS!$E:$E,"Extraordinaria",MOVIMIENTOS!$F:$F,V$4,MOVIMIENTOS!$J:$J,$C39)</f>
        <v>0</v>
      </c>
      <c r="W39" s="5" t="n">
        <f aca="false">SUM(P39:V39)</f>
        <v>5000</v>
      </c>
      <c r="X39" s="5" t="n">
        <f aca="false">O39+W39</f>
        <v>5000</v>
      </c>
      <c r="Y39" s="9"/>
    </row>
    <row r="40" customFormat="false" ht="15" hidden="false" customHeight="false" outlineLevel="0" collapsed="false">
      <c r="A40" s="9" t="n">
        <v>36</v>
      </c>
      <c r="B40" s="9"/>
      <c r="C40" s="9" t="s">
        <v>175</v>
      </c>
      <c r="D40" s="9" t="s">
        <v>176</v>
      </c>
      <c r="E40" s="5" t="n">
        <f aca="false">SUMIFS(MOVIMIENTOS!$I:$I,MOVIMIENTOS!$D:$D,"Aporte",MOVIMIENTOS!$E:$E,"Anual",MOVIMIENTOS!$J:$J,$C40,MOVIMIENTOS!$B:$B,"&gt;="&amp;DATE(2026,3,1),MOVIMIENTOS!$B:$B,"&lt;"&amp;DATE(2026,4,1))</f>
        <v>0</v>
      </c>
      <c r="F40" s="5" t="n">
        <f aca="false">SUMIFS(MOVIMIENTOS!$I:$I,MOVIMIENTOS!$D:$D,"Aporte",MOVIMIENTOS!$E:$E,"Anual",MOVIMIENTOS!$J:$J,$C40,MOVIMIENTOS!$B:$B,"&gt;="&amp;DATE(2026,4,1),MOVIMIENTOS!$B:$B,"&lt;"&amp;DATE(2026,5,1))</f>
        <v>0</v>
      </c>
      <c r="G40" s="5" t="n">
        <f aca="false">SUMIFS(MOVIMIENTOS!$I:$I,MOVIMIENTOS!$D:$D,"Aporte",MOVIMIENTOS!$E:$E,"Anual",MOVIMIENTOS!$J:$J,$C40,MOVIMIENTOS!$B:$B,"&gt;="&amp;DATE(2026,5,1),MOVIMIENTOS!$B:$B,"&lt;"&amp;DATE(2026,6,1))</f>
        <v>0</v>
      </c>
      <c r="H40" s="5" t="n">
        <f aca="false">SUMIFS(MOVIMIENTOS!$I:$I,MOVIMIENTOS!$D:$D,"Aporte",MOVIMIENTOS!$E:$E,"Anual",MOVIMIENTOS!$J:$J,$C40,MOVIMIENTOS!$B:$B,"&gt;="&amp;DATE(2026,6,1),MOVIMIENTOS!$B:$B,"&lt;"&amp;DATE(2026,7,1))</f>
        <v>0</v>
      </c>
      <c r="I40" s="5" t="n">
        <f aca="false">SUMIFS(MOVIMIENTOS!$I:$I,MOVIMIENTOS!$D:$D,"Aporte",MOVIMIENTOS!$E:$E,"Anual",MOVIMIENTOS!$J:$J,$C40,MOVIMIENTOS!$B:$B,"&gt;="&amp;DATE(2026,7,1),MOVIMIENTOS!$B:$B,"&lt;"&amp;DATE(2026,8,1))</f>
        <v>0</v>
      </c>
      <c r="J40" s="5" t="n">
        <f aca="false">SUMIFS(MOVIMIENTOS!$I:$I,MOVIMIENTOS!$D:$D,"Aporte",MOVIMIENTOS!$E:$E,"Anual",MOVIMIENTOS!$J:$J,$C40,MOVIMIENTOS!$B:$B,"&gt;="&amp;DATE(2026,8,1),MOVIMIENTOS!$B:$B,"&lt;"&amp;DATE(2026,9,1))</f>
        <v>0</v>
      </c>
      <c r="K40" s="5" t="n">
        <f aca="false">SUMIFS(MOVIMIENTOS!$I:$I,MOVIMIENTOS!$D:$D,"Aporte",MOVIMIENTOS!$E:$E,"Anual",MOVIMIENTOS!$J:$J,$C40,MOVIMIENTOS!$B:$B,"&gt;="&amp;DATE(2026,9,1),MOVIMIENTOS!$B:$B,"&lt;"&amp;DATE(2026,10,1))</f>
        <v>0</v>
      </c>
      <c r="L40" s="5" t="n">
        <f aca="false">SUMIFS(MOVIMIENTOS!$I:$I,MOVIMIENTOS!$D:$D,"Aporte",MOVIMIENTOS!$E:$E,"Anual",MOVIMIENTOS!$J:$J,$C40,MOVIMIENTOS!$B:$B,"&gt;="&amp;DATE(2026,10,1),MOVIMIENTOS!$B:$B,"&lt;"&amp;DATE(2026,11,1))</f>
        <v>0</v>
      </c>
      <c r="M40" s="5" t="n">
        <f aca="false">SUMIFS(MOVIMIENTOS!$I:$I,MOVIMIENTOS!$D:$D,"Aporte",MOVIMIENTOS!$E:$E,"Anual",MOVIMIENTOS!$J:$J,$C40,MOVIMIENTOS!$B:$B,"&gt;="&amp;DATE(2026,11,1),MOVIMIENTOS!$B:$B,"&lt;"&amp;DATE(2026,12,1))</f>
        <v>0</v>
      </c>
      <c r="N40" s="5" t="n">
        <f aca="false">SUMIFS(MOVIMIENTOS!$I:$I,MOVIMIENTOS!$D:$D,"Aporte",MOVIMIENTOS!$E:$E,"Anual",MOVIMIENTOS!$J:$J,$C40,MOVIMIENTOS!$B:$B,"&gt;="&amp;DATE(2026,12,1),MOVIMIENTOS!$B:$B,"&lt;"&amp;DATE(2026,13,1))</f>
        <v>0</v>
      </c>
      <c r="O40" s="5" t="n">
        <f aca="false">SUM(E40:N40)</f>
        <v>0</v>
      </c>
      <c r="P40" s="5" t="n">
        <f aca="false">SUMIFS(MOVIMIENTOS!$I:$I,MOVIMIENTOS!$D:$D,"Aporte",MOVIMIENTOS!$E:$E,"Extraordinaria",MOVIMIENTOS!$F:$F,P$4,MOVIMIENTOS!$J:$J,$C40)</f>
        <v>0</v>
      </c>
      <c r="Q40" s="5" t="n">
        <f aca="false">SUMIFS(MOVIMIENTOS!$I:$I,MOVIMIENTOS!$D:$D,"Aporte",MOVIMIENTOS!$E:$E,"Extraordinaria",MOVIMIENTOS!$F:$F,Q$4,MOVIMIENTOS!$J:$J,$C40)</f>
        <v>0</v>
      </c>
      <c r="R40" s="5" t="n">
        <f aca="false">SUMIFS(MOVIMIENTOS!$I:$I,MOVIMIENTOS!$D:$D,"Aporte",MOVIMIENTOS!$E:$E,"Extraordinaria",MOVIMIENTOS!$F:$F,R$4,MOVIMIENTOS!$J:$J,$C40)</f>
        <v>2000</v>
      </c>
      <c r="S40" s="5" t="n">
        <f aca="false">SUMIFS(MOVIMIENTOS!$I:$I,MOVIMIENTOS!$D:$D,"Aporte",MOVIMIENTOS!$E:$E,"Extraordinaria",MOVIMIENTOS!$F:$F,S$4,MOVIMIENTOS!$J:$J,$C40)</f>
        <v>0</v>
      </c>
      <c r="T40" s="5" t="n">
        <f aca="false">SUMIFS(MOVIMIENTOS!$I:$I,MOVIMIENTOS!$D:$D,"Aporte",MOVIMIENTOS!$E:$E,"Extraordinaria",MOVIMIENTOS!$F:$F,T$4,MOVIMIENTOS!$J:$J,$C40)</f>
        <v>0</v>
      </c>
      <c r="U40" s="5" t="n">
        <f aca="false">SUMIFS(MOVIMIENTOS!$I:$I,MOVIMIENTOS!$D:$D,"Aporte",MOVIMIENTOS!$E:$E,"Extraordinaria",MOVIMIENTOS!$F:$F,U$4,MOVIMIENTOS!$J:$J,$C40)</f>
        <v>0</v>
      </c>
      <c r="V40" s="5" t="n">
        <f aca="false">SUMIFS(MOVIMIENTOS!$I:$I,MOVIMIENTOS!$D:$D,"Aporte",MOVIMIENTOS!$E:$E,"Extraordinaria",MOVIMIENTOS!$F:$F,V$4,MOVIMIENTOS!$J:$J,$C40)</f>
        <v>0</v>
      </c>
      <c r="W40" s="5" t="n">
        <f aca="false">SUM(P40:V40)</f>
        <v>2000</v>
      </c>
      <c r="X40" s="5" t="n">
        <f aca="false">O40+W40</f>
        <v>2000</v>
      </c>
      <c r="Y40" s="9"/>
    </row>
    <row r="41" customFormat="false" ht="15" hidden="false" customHeight="false" outlineLevel="0" collapsed="false">
      <c r="A41" s="9" t="n">
        <v>37</v>
      </c>
      <c r="B41" s="9"/>
      <c r="C41" s="9" t="s">
        <v>177</v>
      </c>
      <c r="D41" s="9"/>
      <c r="E41" s="5" t="n">
        <f aca="false">SUMIFS(MOVIMIENTOS!$I:$I,MOVIMIENTOS!$D:$D,"Aporte",MOVIMIENTOS!$E:$E,"Anual",MOVIMIENTOS!$J:$J,$C41,MOVIMIENTOS!$B:$B,"&gt;="&amp;DATE(2026,3,1),MOVIMIENTOS!$B:$B,"&lt;"&amp;DATE(2026,4,1))</f>
        <v>0</v>
      </c>
      <c r="F41" s="5" t="n">
        <f aca="false">SUMIFS(MOVIMIENTOS!$I:$I,MOVIMIENTOS!$D:$D,"Aporte",MOVIMIENTOS!$E:$E,"Anual",MOVIMIENTOS!$J:$J,$C41,MOVIMIENTOS!$B:$B,"&gt;="&amp;DATE(2026,4,1),MOVIMIENTOS!$B:$B,"&lt;"&amp;DATE(2026,5,1))</f>
        <v>0</v>
      </c>
      <c r="G41" s="5" t="n">
        <f aca="false">SUMIFS(MOVIMIENTOS!$I:$I,MOVIMIENTOS!$D:$D,"Aporte",MOVIMIENTOS!$E:$E,"Anual",MOVIMIENTOS!$J:$J,$C41,MOVIMIENTOS!$B:$B,"&gt;="&amp;DATE(2026,5,1),MOVIMIENTOS!$B:$B,"&lt;"&amp;DATE(2026,6,1))</f>
        <v>0</v>
      </c>
      <c r="H41" s="5" t="n">
        <f aca="false">SUMIFS(MOVIMIENTOS!$I:$I,MOVIMIENTOS!$D:$D,"Aporte",MOVIMIENTOS!$E:$E,"Anual",MOVIMIENTOS!$J:$J,$C41,MOVIMIENTOS!$B:$B,"&gt;="&amp;DATE(2026,6,1),MOVIMIENTOS!$B:$B,"&lt;"&amp;DATE(2026,7,1))</f>
        <v>0</v>
      </c>
      <c r="I41" s="5" t="n">
        <f aca="false">SUMIFS(MOVIMIENTOS!$I:$I,MOVIMIENTOS!$D:$D,"Aporte",MOVIMIENTOS!$E:$E,"Anual",MOVIMIENTOS!$J:$J,$C41,MOVIMIENTOS!$B:$B,"&gt;="&amp;DATE(2026,7,1),MOVIMIENTOS!$B:$B,"&lt;"&amp;DATE(2026,8,1))</f>
        <v>0</v>
      </c>
      <c r="J41" s="5" t="n">
        <f aca="false">SUMIFS(MOVIMIENTOS!$I:$I,MOVIMIENTOS!$D:$D,"Aporte",MOVIMIENTOS!$E:$E,"Anual",MOVIMIENTOS!$J:$J,$C41,MOVIMIENTOS!$B:$B,"&gt;="&amp;DATE(2026,8,1),MOVIMIENTOS!$B:$B,"&lt;"&amp;DATE(2026,9,1))</f>
        <v>0</v>
      </c>
      <c r="K41" s="5" t="n">
        <f aca="false">SUMIFS(MOVIMIENTOS!$I:$I,MOVIMIENTOS!$D:$D,"Aporte",MOVIMIENTOS!$E:$E,"Anual",MOVIMIENTOS!$J:$J,$C41,MOVIMIENTOS!$B:$B,"&gt;="&amp;DATE(2026,9,1),MOVIMIENTOS!$B:$B,"&lt;"&amp;DATE(2026,10,1))</f>
        <v>0</v>
      </c>
      <c r="L41" s="5" t="n">
        <f aca="false">SUMIFS(MOVIMIENTOS!$I:$I,MOVIMIENTOS!$D:$D,"Aporte",MOVIMIENTOS!$E:$E,"Anual",MOVIMIENTOS!$J:$J,$C41,MOVIMIENTOS!$B:$B,"&gt;="&amp;DATE(2026,10,1),MOVIMIENTOS!$B:$B,"&lt;"&amp;DATE(2026,11,1))</f>
        <v>0</v>
      </c>
      <c r="M41" s="5" t="n">
        <f aca="false">SUMIFS(MOVIMIENTOS!$I:$I,MOVIMIENTOS!$D:$D,"Aporte",MOVIMIENTOS!$E:$E,"Anual",MOVIMIENTOS!$J:$J,$C41,MOVIMIENTOS!$B:$B,"&gt;="&amp;DATE(2026,11,1),MOVIMIENTOS!$B:$B,"&lt;"&amp;DATE(2026,12,1))</f>
        <v>0</v>
      </c>
      <c r="N41" s="5" t="n">
        <f aca="false">SUMIFS(MOVIMIENTOS!$I:$I,MOVIMIENTOS!$D:$D,"Aporte",MOVIMIENTOS!$E:$E,"Anual",MOVIMIENTOS!$J:$J,$C41,MOVIMIENTOS!$B:$B,"&gt;="&amp;DATE(2026,12,1),MOVIMIENTOS!$B:$B,"&lt;"&amp;DATE(2026,13,1))</f>
        <v>0</v>
      </c>
      <c r="O41" s="5" t="n">
        <f aca="false">SUM(E41:N41)</f>
        <v>0</v>
      </c>
      <c r="P41" s="5" t="n">
        <f aca="false">SUMIFS(MOVIMIENTOS!$I:$I,MOVIMIENTOS!$D:$D,"Aporte",MOVIMIENTOS!$E:$E,"Extraordinaria",MOVIMIENTOS!$F:$F,P$4,MOVIMIENTOS!$J:$J,$C41)</f>
        <v>0</v>
      </c>
      <c r="Q41" s="5" t="n">
        <f aca="false">SUMIFS(MOVIMIENTOS!$I:$I,MOVIMIENTOS!$D:$D,"Aporte",MOVIMIENTOS!$E:$E,"Extraordinaria",MOVIMIENTOS!$F:$F,Q$4,MOVIMIENTOS!$J:$J,$C41)</f>
        <v>0</v>
      </c>
      <c r="R41" s="5" t="n">
        <f aca="false">SUMIFS(MOVIMIENTOS!$I:$I,MOVIMIENTOS!$D:$D,"Aporte",MOVIMIENTOS!$E:$E,"Extraordinaria",MOVIMIENTOS!$F:$F,R$4,MOVIMIENTOS!$J:$J,$C41)</f>
        <v>2000</v>
      </c>
      <c r="S41" s="5" t="n">
        <f aca="false">SUMIFS(MOVIMIENTOS!$I:$I,MOVIMIENTOS!$D:$D,"Aporte",MOVIMIENTOS!$E:$E,"Extraordinaria",MOVIMIENTOS!$F:$F,S$4,MOVIMIENTOS!$J:$J,$C41)</f>
        <v>0</v>
      </c>
      <c r="T41" s="5" t="n">
        <f aca="false">SUMIFS(MOVIMIENTOS!$I:$I,MOVIMIENTOS!$D:$D,"Aporte",MOVIMIENTOS!$E:$E,"Extraordinaria",MOVIMIENTOS!$F:$F,T$4,MOVIMIENTOS!$J:$J,$C41)</f>
        <v>0</v>
      </c>
      <c r="U41" s="5" t="n">
        <f aca="false">SUMIFS(MOVIMIENTOS!$I:$I,MOVIMIENTOS!$D:$D,"Aporte",MOVIMIENTOS!$E:$E,"Extraordinaria",MOVIMIENTOS!$F:$F,U$4,MOVIMIENTOS!$J:$J,$C41)</f>
        <v>0</v>
      </c>
      <c r="V41" s="5" t="n">
        <f aca="false">SUMIFS(MOVIMIENTOS!$I:$I,MOVIMIENTOS!$D:$D,"Aporte",MOVIMIENTOS!$E:$E,"Extraordinaria",MOVIMIENTOS!$F:$F,V$4,MOVIMIENTOS!$J:$J,$C41)</f>
        <v>0</v>
      </c>
      <c r="W41" s="5" t="n">
        <f aca="false">SUM(P41:V41)</f>
        <v>2000</v>
      </c>
      <c r="X41" s="5" t="n">
        <f aca="false">O41+W41</f>
        <v>2000</v>
      </c>
      <c r="Y41" s="9"/>
    </row>
    <row r="42" customFormat="false" ht="15" hidden="false" customHeight="false" outlineLevel="0" collapsed="false">
      <c r="A42" s="12"/>
      <c r="B42" s="12"/>
      <c r="C42" s="12"/>
      <c r="D42" s="17" t="s">
        <v>178</v>
      </c>
      <c r="E42" s="18" t="n">
        <f aca="false">SUM(E5:E41)</f>
        <v>81000</v>
      </c>
      <c r="F42" s="18" t="n">
        <f aca="false">SUM(F5:F41)</f>
        <v>54000</v>
      </c>
      <c r="G42" s="18" t="n">
        <f aca="false">SUM(G5:G41)</f>
        <v>54000</v>
      </c>
      <c r="H42" s="18" t="n">
        <f aca="false">SUM(H5:H41)</f>
        <v>42000</v>
      </c>
      <c r="I42" s="18" t="n">
        <f aca="false">SUM(I5:I41)</f>
        <v>27000</v>
      </c>
      <c r="J42" s="18" t="n">
        <f aca="false">SUM(J5:J41)</f>
        <v>9000</v>
      </c>
      <c r="K42" s="18" t="n">
        <f aca="false">SUM(K5:K41)</f>
        <v>3000</v>
      </c>
      <c r="L42" s="18" t="n">
        <f aca="false">SUM(L5:L41)</f>
        <v>3000</v>
      </c>
      <c r="M42" s="18" t="n">
        <f aca="false">SUM(M5:M41)</f>
        <v>3000</v>
      </c>
      <c r="N42" s="18" t="n">
        <f aca="false">SUM(N5:N41)</f>
        <v>3000</v>
      </c>
      <c r="O42" s="18" t="n">
        <f aca="false">SUM(O5:O41)</f>
        <v>279000</v>
      </c>
      <c r="P42" s="18" t="n">
        <f aca="false">SUM(P5:P41)</f>
        <v>30000</v>
      </c>
      <c r="Q42" s="18" t="n">
        <f aca="false">SUM(Q5:Q41)</f>
        <v>58000</v>
      </c>
      <c r="R42" s="18" t="n">
        <f aca="false">SUM(R5:R41)</f>
        <v>58000</v>
      </c>
      <c r="S42" s="18" t="n">
        <f aca="false">SUM(S5:S41)</f>
        <v>0</v>
      </c>
      <c r="T42" s="18" t="n">
        <f aca="false">SUM(T5:T41)</f>
        <v>0</v>
      </c>
      <c r="U42" s="18" t="n">
        <f aca="false">SUM(U5:U41)</f>
        <v>9500</v>
      </c>
      <c r="V42" s="18" t="n">
        <f aca="false">SUM(V5:V41)</f>
        <v>0</v>
      </c>
      <c r="W42" s="18" t="n">
        <f aca="false">SUM(W5:W41)</f>
        <v>155500</v>
      </c>
      <c r="X42" s="18" t="n">
        <f aca="false">SUM(X5:X41)</f>
        <v>434500</v>
      </c>
      <c r="Y42" s="12"/>
    </row>
    <row r="43" customFormat="false" ht="15" hidden="false" customHeight="false" outlineLevel="0" collapsed="false">
      <c r="A43" s="12"/>
      <c r="B43" s="12"/>
      <c r="C43" s="12"/>
      <c r="D43" s="12"/>
      <c r="E43" s="5" t="str">
        <f aca="false">IF($C43="","",SUMIFS(MOVIMIENTOS!$I:$I,MOVIMIENTOS!$D:$D,"Aporte",MOVIMIENTOS!$E:$E,"Anual",MOVIMIENTOS!$J:$J,$C43,MOVIMIENTOS!$B:$B,"&gt;="&amp;DATE(2026,3,1),MOVIMIENTOS!$B:$B,"&lt;"&amp;DATE(2026,4,1)))</f>
        <v/>
      </c>
      <c r="F43" s="5" t="str">
        <f aca="false">IF($C43="","",SUMIFS(MOVIMIENTOS!$I:$I,MOVIMIENTOS!$D:$D,"Aporte",MOVIMIENTOS!$E:$E,"Anual",MOVIMIENTOS!$J:$J,$C43,MOVIMIENTOS!$B:$B,"&gt;="&amp;DATE(2026,4,1),MOVIMIENTOS!$B:$B,"&lt;"&amp;DATE(2026,5,1)))</f>
        <v/>
      </c>
      <c r="G43" s="5" t="str">
        <f aca="false">IF($C43="","",SUMIFS(MOVIMIENTOS!$I:$I,MOVIMIENTOS!$D:$D,"Aporte",MOVIMIENTOS!$E:$E,"Anual",MOVIMIENTOS!$J:$J,$C43,MOVIMIENTOS!$B:$B,"&gt;="&amp;DATE(2026,5,1),MOVIMIENTOS!$B:$B,"&lt;"&amp;DATE(2026,6,1)))</f>
        <v/>
      </c>
      <c r="H43" s="5" t="str">
        <f aca="false">IF($C43="","",SUMIFS(MOVIMIENTOS!$I:$I,MOVIMIENTOS!$D:$D,"Aporte",MOVIMIENTOS!$E:$E,"Anual",MOVIMIENTOS!$J:$J,$C43,MOVIMIENTOS!$B:$B,"&gt;="&amp;DATE(2026,6,1),MOVIMIENTOS!$B:$B,"&lt;"&amp;DATE(2026,7,1)))</f>
        <v/>
      </c>
      <c r="I43" s="5" t="str">
        <f aca="false">IF($C43="","",SUMIFS(MOVIMIENTOS!$I:$I,MOVIMIENTOS!$D:$D,"Aporte",MOVIMIENTOS!$E:$E,"Anual",MOVIMIENTOS!$J:$J,$C43,MOVIMIENTOS!$B:$B,"&gt;="&amp;DATE(2026,7,1),MOVIMIENTOS!$B:$B,"&lt;"&amp;DATE(2026,8,1)))</f>
        <v/>
      </c>
      <c r="J43" s="5" t="str">
        <f aca="false">IF($C43="","",SUMIFS(MOVIMIENTOS!$I:$I,MOVIMIENTOS!$D:$D,"Aporte",MOVIMIENTOS!$E:$E,"Anual",MOVIMIENTOS!$J:$J,$C43,MOVIMIENTOS!$B:$B,"&gt;="&amp;DATE(2026,8,1),MOVIMIENTOS!$B:$B,"&lt;"&amp;DATE(2026,9,1)))</f>
        <v/>
      </c>
      <c r="K43" s="5" t="str">
        <f aca="false">IF($C43="","",SUMIFS(MOVIMIENTOS!$I:$I,MOVIMIENTOS!$D:$D,"Aporte",MOVIMIENTOS!$E:$E,"Anual",MOVIMIENTOS!$J:$J,$C43,MOVIMIENTOS!$B:$B,"&gt;="&amp;DATE(2026,9,1),MOVIMIENTOS!$B:$B,"&lt;"&amp;DATE(2026,10,1)))</f>
        <v/>
      </c>
      <c r="L43" s="5" t="str">
        <f aca="false">IF($C43="","",SUMIFS(MOVIMIENTOS!$I:$I,MOVIMIENTOS!$D:$D,"Aporte",MOVIMIENTOS!$E:$E,"Anual",MOVIMIENTOS!$J:$J,$C43,MOVIMIENTOS!$B:$B,"&gt;="&amp;DATE(2026,10,1),MOVIMIENTOS!$B:$B,"&lt;"&amp;DATE(2026,11,1)))</f>
        <v/>
      </c>
      <c r="M43" s="5" t="str">
        <f aca="false">IF($C43="","",SUMIFS(MOVIMIENTOS!$I:$I,MOVIMIENTOS!$D:$D,"Aporte",MOVIMIENTOS!$E:$E,"Anual",MOVIMIENTOS!$J:$J,$C43,MOVIMIENTOS!$B:$B,"&gt;="&amp;DATE(2026,11,1),MOVIMIENTOS!$B:$B,"&lt;"&amp;DATE(2026,12,1)))</f>
        <v/>
      </c>
      <c r="N43" s="5" t="str">
        <f aca="false">IF($C43="","",SUMIFS(MOVIMIENTOS!$I:$I,MOVIMIENTOS!$D:$D,"Aporte",MOVIMIENTOS!$E:$E,"Anual",MOVIMIENTOS!$J:$J,$C43,MOVIMIENTOS!$B:$B,"&gt;="&amp;DATE(2026,12,1),MOVIMIENTOS!$B:$B,"&lt;"&amp;DATE(2026,13,1)))</f>
        <v/>
      </c>
      <c r="O43" s="5" t="str">
        <f aca="false">IF($C43="","",SUM(E43:N43))</f>
        <v/>
      </c>
      <c r="P43" s="5" t="str">
        <f aca="false">IF($C43="","",SUMIFS(MOVIMIENTOS!$I:$I,MOVIMIENTOS!$D:$D,"Aporte",MOVIMIENTOS!$E:$E,"Extraordinaria",MOVIMIENTOS!$F:$F,P$4,MOVIMIENTOS!$J:$J,$C43))</f>
        <v/>
      </c>
      <c r="Q43" s="5" t="str">
        <f aca="false">IF($C43="","",SUMIFS(MOVIMIENTOS!$I:$I,MOVIMIENTOS!$D:$D,"Aporte",MOVIMIENTOS!$E:$E,"Extraordinaria",MOVIMIENTOS!$F:$F,Q$4,MOVIMIENTOS!$J:$J,$C43))</f>
        <v/>
      </c>
      <c r="R43" s="5" t="str">
        <f aca="false">IF($C43="","",SUMIFS(MOVIMIENTOS!$I:$I,MOVIMIENTOS!$D:$D,"Aporte",MOVIMIENTOS!$E:$E,"Extraordinaria",MOVIMIENTOS!$F:$F,R$4,MOVIMIENTOS!$J:$J,$C43))</f>
        <v/>
      </c>
      <c r="S43" s="5" t="str">
        <f aca="false">IF($C43="","",SUMIFS(MOVIMIENTOS!$I:$I,MOVIMIENTOS!$D:$D,"Aporte",MOVIMIENTOS!$E:$E,"Extraordinaria",MOVIMIENTOS!$F:$F,S$4,MOVIMIENTOS!$J:$J,$C43))</f>
        <v/>
      </c>
      <c r="T43" s="5" t="str">
        <f aca="false">IF($C43="","",SUMIFS(MOVIMIENTOS!$I:$I,MOVIMIENTOS!$D:$D,"Aporte",MOVIMIENTOS!$E:$E,"Extraordinaria",MOVIMIENTOS!$F:$F,T$4,MOVIMIENTOS!$J:$J,$C43))</f>
        <v/>
      </c>
      <c r="U43" s="5" t="str">
        <f aca="false">IF($C43="","",SUMIFS(MOVIMIENTOS!$I:$I,MOVIMIENTOS!$D:$D,"Aporte",MOVIMIENTOS!$E:$E,"Extraordinaria",MOVIMIENTOS!$F:$F,U$4,MOVIMIENTOS!$J:$J,$C43))</f>
        <v/>
      </c>
      <c r="V43" s="5" t="str">
        <f aca="false">IF($C43="","",SUMIFS(MOVIMIENTOS!$I:$I,MOVIMIENTOS!$D:$D,"Aporte",MOVIMIENTOS!$E:$E,"Extraordinaria",MOVIMIENTOS!$F:$F,V$4,MOVIMIENTOS!$J:$J,$C43))</f>
        <v/>
      </c>
      <c r="W43" s="5" t="str">
        <f aca="false">IF($C43="","",SUM(P43:V43))</f>
        <v/>
      </c>
      <c r="X43" s="5" t="str">
        <f aca="false">IF($C43="","",O43+W43)</f>
        <v/>
      </c>
      <c r="Y43" s="12"/>
    </row>
    <row r="44" customFormat="false" ht="15" hidden="false" customHeight="false" outlineLevel="0" collapsed="false">
      <c r="A44" s="12"/>
      <c r="B44" s="12"/>
      <c r="C44" s="12"/>
      <c r="D44" s="12"/>
      <c r="E44" s="5" t="str">
        <f aca="false">IF($C44="","",SUMIFS(MOVIMIENTOS!$I:$I,MOVIMIENTOS!$D:$D,"Aporte",MOVIMIENTOS!$E:$E,"Anual",MOVIMIENTOS!$J:$J,$C44,MOVIMIENTOS!$B:$B,"&gt;="&amp;DATE(2026,3,1),MOVIMIENTOS!$B:$B,"&lt;"&amp;DATE(2026,4,1)))</f>
        <v/>
      </c>
      <c r="F44" s="5" t="str">
        <f aca="false">IF($C44="","",SUMIFS(MOVIMIENTOS!$I:$I,MOVIMIENTOS!$D:$D,"Aporte",MOVIMIENTOS!$E:$E,"Anual",MOVIMIENTOS!$J:$J,$C44,MOVIMIENTOS!$B:$B,"&gt;="&amp;DATE(2026,4,1),MOVIMIENTOS!$B:$B,"&lt;"&amp;DATE(2026,5,1)))</f>
        <v/>
      </c>
      <c r="G44" s="5" t="str">
        <f aca="false">IF($C44="","",SUMIFS(MOVIMIENTOS!$I:$I,MOVIMIENTOS!$D:$D,"Aporte",MOVIMIENTOS!$E:$E,"Anual",MOVIMIENTOS!$J:$J,$C44,MOVIMIENTOS!$B:$B,"&gt;="&amp;DATE(2026,5,1),MOVIMIENTOS!$B:$B,"&lt;"&amp;DATE(2026,6,1)))</f>
        <v/>
      </c>
      <c r="H44" s="5" t="str">
        <f aca="false">IF($C44="","",SUMIFS(MOVIMIENTOS!$I:$I,MOVIMIENTOS!$D:$D,"Aporte",MOVIMIENTOS!$E:$E,"Anual",MOVIMIENTOS!$J:$J,$C44,MOVIMIENTOS!$B:$B,"&gt;="&amp;DATE(2026,6,1),MOVIMIENTOS!$B:$B,"&lt;"&amp;DATE(2026,7,1)))</f>
        <v/>
      </c>
      <c r="I44" s="5" t="str">
        <f aca="false">IF($C44="","",SUMIFS(MOVIMIENTOS!$I:$I,MOVIMIENTOS!$D:$D,"Aporte",MOVIMIENTOS!$E:$E,"Anual",MOVIMIENTOS!$J:$J,$C44,MOVIMIENTOS!$B:$B,"&gt;="&amp;DATE(2026,7,1),MOVIMIENTOS!$B:$B,"&lt;"&amp;DATE(2026,8,1)))</f>
        <v/>
      </c>
      <c r="J44" s="5" t="str">
        <f aca="false">IF($C44="","",SUMIFS(MOVIMIENTOS!$I:$I,MOVIMIENTOS!$D:$D,"Aporte",MOVIMIENTOS!$E:$E,"Anual",MOVIMIENTOS!$J:$J,$C44,MOVIMIENTOS!$B:$B,"&gt;="&amp;DATE(2026,8,1),MOVIMIENTOS!$B:$B,"&lt;"&amp;DATE(2026,9,1)))</f>
        <v/>
      </c>
      <c r="K44" s="5" t="str">
        <f aca="false">IF($C44="","",SUMIFS(MOVIMIENTOS!$I:$I,MOVIMIENTOS!$D:$D,"Aporte",MOVIMIENTOS!$E:$E,"Anual",MOVIMIENTOS!$J:$J,$C44,MOVIMIENTOS!$B:$B,"&gt;="&amp;DATE(2026,9,1),MOVIMIENTOS!$B:$B,"&lt;"&amp;DATE(2026,10,1)))</f>
        <v/>
      </c>
      <c r="L44" s="5" t="str">
        <f aca="false">IF($C44="","",SUMIFS(MOVIMIENTOS!$I:$I,MOVIMIENTOS!$D:$D,"Aporte",MOVIMIENTOS!$E:$E,"Anual",MOVIMIENTOS!$J:$J,$C44,MOVIMIENTOS!$B:$B,"&gt;="&amp;DATE(2026,10,1),MOVIMIENTOS!$B:$B,"&lt;"&amp;DATE(2026,11,1)))</f>
        <v/>
      </c>
      <c r="M44" s="5" t="str">
        <f aca="false">IF($C44="","",SUMIFS(MOVIMIENTOS!$I:$I,MOVIMIENTOS!$D:$D,"Aporte",MOVIMIENTOS!$E:$E,"Anual",MOVIMIENTOS!$J:$J,$C44,MOVIMIENTOS!$B:$B,"&gt;="&amp;DATE(2026,11,1),MOVIMIENTOS!$B:$B,"&lt;"&amp;DATE(2026,12,1)))</f>
        <v/>
      </c>
      <c r="N44" s="5" t="str">
        <f aca="false">IF($C44="","",SUMIFS(MOVIMIENTOS!$I:$I,MOVIMIENTOS!$D:$D,"Aporte",MOVIMIENTOS!$E:$E,"Anual",MOVIMIENTOS!$J:$J,$C44,MOVIMIENTOS!$B:$B,"&gt;="&amp;DATE(2026,12,1),MOVIMIENTOS!$B:$B,"&lt;"&amp;DATE(2026,13,1)))</f>
        <v/>
      </c>
      <c r="O44" s="5" t="str">
        <f aca="false">IF($C44="","",SUM(E44:N44))</f>
        <v/>
      </c>
      <c r="P44" s="5" t="str">
        <f aca="false">IF($C44="","",SUMIFS(MOVIMIENTOS!$I:$I,MOVIMIENTOS!$D:$D,"Aporte",MOVIMIENTOS!$E:$E,"Extraordinaria",MOVIMIENTOS!$F:$F,P$4,MOVIMIENTOS!$J:$J,$C44))</f>
        <v/>
      </c>
      <c r="Q44" s="5" t="str">
        <f aca="false">IF($C44="","",SUMIFS(MOVIMIENTOS!$I:$I,MOVIMIENTOS!$D:$D,"Aporte",MOVIMIENTOS!$E:$E,"Extraordinaria",MOVIMIENTOS!$F:$F,Q$4,MOVIMIENTOS!$J:$J,$C44))</f>
        <v/>
      </c>
      <c r="R44" s="5" t="str">
        <f aca="false">IF($C44="","",SUMIFS(MOVIMIENTOS!$I:$I,MOVIMIENTOS!$D:$D,"Aporte",MOVIMIENTOS!$E:$E,"Extraordinaria",MOVIMIENTOS!$F:$F,R$4,MOVIMIENTOS!$J:$J,$C44))</f>
        <v/>
      </c>
      <c r="S44" s="5" t="str">
        <f aca="false">IF($C44="","",SUMIFS(MOVIMIENTOS!$I:$I,MOVIMIENTOS!$D:$D,"Aporte",MOVIMIENTOS!$E:$E,"Extraordinaria",MOVIMIENTOS!$F:$F,S$4,MOVIMIENTOS!$J:$J,$C44))</f>
        <v/>
      </c>
      <c r="T44" s="5" t="str">
        <f aca="false">IF($C44="","",SUMIFS(MOVIMIENTOS!$I:$I,MOVIMIENTOS!$D:$D,"Aporte",MOVIMIENTOS!$E:$E,"Extraordinaria",MOVIMIENTOS!$F:$F,T$4,MOVIMIENTOS!$J:$J,$C44))</f>
        <v/>
      </c>
      <c r="U44" s="5" t="str">
        <f aca="false">IF($C44="","",SUMIFS(MOVIMIENTOS!$I:$I,MOVIMIENTOS!$D:$D,"Aporte",MOVIMIENTOS!$E:$E,"Extraordinaria",MOVIMIENTOS!$F:$F,U$4,MOVIMIENTOS!$J:$J,$C44))</f>
        <v/>
      </c>
      <c r="V44" s="5" t="str">
        <f aca="false">IF($C44="","",SUMIFS(MOVIMIENTOS!$I:$I,MOVIMIENTOS!$D:$D,"Aporte",MOVIMIENTOS!$E:$E,"Extraordinaria",MOVIMIENTOS!$F:$F,V$4,MOVIMIENTOS!$J:$J,$C44))</f>
        <v/>
      </c>
      <c r="W44" s="5" t="str">
        <f aca="false">IF($C44="","",SUM(P44:V44))</f>
        <v/>
      </c>
      <c r="X44" s="5" t="str">
        <f aca="false">IF($C44="","",O44+W44)</f>
        <v/>
      </c>
      <c r="Y44" s="12"/>
    </row>
    <row r="45" customFormat="false" ht="15" hidden="false" customHeight="false" outlineLevel="0" collapsed="false">
      <c r="A45" s="12"/>
      <c r="B45" s="12"/>
      <c r="C45" s="12"/>
      <c r="D45" s="12"/>
      <c r="E45" s="5" t="str">
        <f aca="false">IF($C45="","",SUMIFS(MOVIMIENTOS!$I:$I,MOVIMIENTOS!$D:$D,"Aporte",MOVIMIENTOS!$E:$E,"Anual",MOVIMIENTOS!$J:$J,$C45,MOVIMIENTOS!$B:$B,"&gt;="&amp;DATE(2026,3,1),MOVIMIENTOS!$B:$B,"&lt;"&amp;DATE(2026,4,1)))</f>
        <v/>
      </c>
      <c r="F45" s="5" t="str">
        <f aca="false">IF($C45="","",SUMIFS(MOVIMIENTOS!$I:$I,MOVIMIENTOS!$D:$D,"Aporte",MOVIMIENTOS!$E:$E,"Anual",MOVIMIENTOS!$J:$J,$C45,MOVIMIENTOS!$B:$B,"&gt;="&amp;DATE(2026,4,1),MOVIMIENTOS!$B:$B,"&lt;"&amp;DATE(2026,5,1)))</f>
        <v/>
      </c>
      <c r="G45" s="5" t="str">
        <f aca="false">IF($C45="","",SUMIFS(MOVIMIENTOS!$I:$I,MOVIMIENTOS!$D:$D,"Aporte",MOVIMIENTOS!$E:$E,"Anual",MOVIMIENTOS!$J:$J,$C45,MOVIMIENTOS!$B:$B,"&gt;="&amp;DATE(2026,5,1),MOVIMIENTOS!$B:$B,"&lt;"&amp;DATE(2026,6,1)))</f>
        <v/>
      </c>
      <c r="H45" s="5" t="str">
        <f aca="false">IF($C45="","",SUMIFS(MOVIMIENTOS!$I:$I,MOVIMIENTOS!$D:$D,"Aporte",MOVIMIENTOS!$E:$E,"Anual",MOVIMIENTOS!$J:$J,$C45,MOVIMIENTOS!$B:$B,"&gt;="&amp;DATE(2026,6,1),MOVIMIENTOS!$B:$B,"&lt;"&amp;DATE(2026,7,1)))</f>
        <v/>
      </c>
      <c r="I45" s="5" t="str">
        <f aca="false">IF($C45="","",SUMIFS(MOVIMIENTOS!$I:$I,MOVIMIENTOS!$D:$D,"Aporte",MOVIMIENTOS!$E:$E,"Anual",MOVIMIENTOS!$J:$J,$C45,MOVIMIENTOS!$B:$B,"&gt;="&amp;DATE(2026,7,1),MOVIMIENTOS!$B:$B,"&lt;"&amp;DATE(2026,8,1)))</f>
        <v/>
      </c>
      <c r="J45" s="5" t="str">
        <f aca="false">IF($C45="","",SUMIFS(MOVIMIENTOS!$I:$I,MOVIMIENTOS!$D:$D,"Aporte",MOVIMIENTOS!$E:$E,"Anual",MOVIMIENTOS!$J:$J,$C45,MOVIMIENTOS!$B:$B,"&gt;="&amp;DATE(2026,8,1),MOVIMIENTOS!$B:$B,"&lt;"&amp;DATE(2026,9,1)))</f>
        <v/>
      </c>
      <c r="K45" s="5" t="str">
        <f aca="false">IF($C45="","",SUMIFS(MOVIMIENTOS!$I:$I,MOVIMIENTOS!$D:$D,"Aporte",MOVIMIENTOS!$E:$E,"Anual",MOVIMIENTOS!$J:$J,$C45,MOVIMIENTOS!$B:$B,"&gt;="&amp;DATE(2026,9,1),MOVIMIENTOS!$B:$B,"&lt;"&amp;DATE(2026,10,1)))</f>
        <v/>
      </c>
      <c r="L45" s="5" t="str">
        <f aca="false">IF($C45="","",SUMIFS(MOVIMIENTOS!$I:$I,MOVIMIENTOS!$D:$D,"Aporte",MOVIMIENTOS!$E:$E,"Anual",MOVIMIENTOS!$J:$J,$C45,MOVIMIENTOS!$B:$B,"&gt;="&amp;DATE(2026,10,1),MOVIMIENTOS!$B:$B,"&lt;"&amp;DATE(2026,11,1)))</f>
        <v/>
      </c>
      <c r="M45" s="5" t="str">
        <f aca="false">IF($C45="","",SUMIFS(MOVIMIENTOS!$I:$I,MOVIMIENTOS!$D:$D,"Aporte",MOVIMIENTOS!$E:$E,"Anual",MOVIMIENTOS!$J:$J,$C45,MOVIMIENTOS!$B:$B,"&gt;="&amp;DATE(2026,11,1),MOVIMIENTOS!$B:$B,"&lt;"&amp;DATE(2026,12,1)))</f>
        <v/>
      </c>
      <c r="N45" s="5" t="str">
        <f aca="false">IF($C45="","",SUMIFS(MOVIMIENTOS!$I:$I,MOVIMIENTOS!$D:$D,"Aporte",MOVIMIENTOS!$E:$E,"Anual",MOVIMIENTOS!$J:$J,$C45,MOVIMIENTOS!$B:$B,"&gt;="&amp;DATE(2026,12,1),MOVIMIENTOS!$B:$B,"&lt;"&amp;DATE(2026,13,1)))</f>
        <v/>
      </c>
      <c r="O45" s="5" t="str">
        <f aca="false">IF($C45="","",SUM(E45:N45))</f>
        <v/>
      </c>
      <c r="P45" s="5" t="str">
        <f aca="false">IF($C45="","",SUMIFS(MOVIMIENTOS!$I:$I,MOVIMIENTOS!$D:$D,"Aporte",MOVIMIENTOS!$E:$E,"Extraordinaria",MOVIMIENTOS!$F:$F,P$4,MOVIMIENTOS!$J:$J,$C45))</f>
        <v/>
      </c>
      <c r="Q45" s="5" t="str">
        <f aca="false">IF($C45="","",SUMIFS(MOVIMIENTOS!$I:$I,MOVIMIENTOS!$D:$D,"Aporte",MOVIMIENTOS!$E:$E,"Extraordinaria",MOVIMIENTOS!$F:$F,Q$4,MOVIMIENTOS!$J:$J,$C45))</f>
        <v/>
      </c>
      <c r="R45" s="5" t="str">
        <f aca="false">IF($C45="","",SUMIFS(MOVIMIENTOS!$I:$I,MOVIMIENTOS!$D:$D,"Aporte",MOVIMIENTOS!$E:$E,"Extraordinaria",MOVIMIENTOS!$F:$F,R$4,MOVIMIENTOS!$J:$J,$C45))</f>
        <v/>
      </c>
      <c r="S45" s="5" t="str">
        <f aca="false">IF($C45="","",SUMIFS(MOVIMIENTOS!$I:$I,MOVIMIENTOS!$D:$D,"Aporte",MOVIMIENTOS!$E:$E,"Extraordinaria",MOVIMIENTOS!$F:$F,S$4,MOVIMIENTOS!$J:$J,$C45))</f>
        <v/>
      </c>
      <c r="T45" s="5" t="str">
        <f aca="false">IF($C45="","",SUMIFS(MOVIMIENTOS!$I:$I,MOVIMIENTOS!$D:$D,"Aporte",MOVIMIENTOS!$E:$E,"Extraordinaria",MOVIMIENTOS!$F:$F,T$4,MOVIMIENTOS!$J:$J,$C45))</f>
        <v/>
      </c>
      <c r="U45" s="5" t="str">
        <f aca="false">IF($C45="","",SUMIFS(MOVIMIENTOS!$I:$I,MOVIMIENTOS!$D:$D,"Aporte",MOVIMIENTOS!$E:$E,"Extraordinaria",MOVIMIENTOS!$F:$F,U$4,MOVIMIENTOS!$J:$J,$C45))</f>
        <v/>
      </c>
      <c r="V45" s="5" t="str">
        <f aca="false">IF($C45="","",SUMIFS(MOVIMIENTOS!$I:$I,MOVIMIENTOS!$D:$D,"Aporte",MOVIMIENTOS!$E:$E,"Extraordinaria",MOVIMIENTOS!$F:$F,V$4,MOVIMIENTOS!$J:$J,$C45))</f>
        <v/>
      </c>
      <c r="W45" s="5" t="str">
        <f aca="false">IF($C45="","",SUM(P45:V45))</f>
        <v/>
      </c>
      <c r="X45" s="5" t="str">
        <f aca="false">IF($C45="","",O45+W45)</f>
        <v/>
      </c>
      <c r="Y45" s="12"/>
    </row>
    <row r="46" customFormat="false" ht="15" hidden="false" customHeight="false" outlineLevel="0" collapsed="false">
      <c r="A46" s="12"/>
      <c r="B46" s="12"/>
      <c r="C46" s="12"/>
      <c r="D46" s="12"/>
      <c r="E46" s="5" t="str">
        <f aca="false">IF($C46="","",SUMIFS(MOVIMIENTOS!$I:$I,MOVIMIENTOS!$D:$D,"Aporte",MOVIMIENTOS!$E:$E,"Anual",MOVIMIENTOS!$J:$J,$C46,MOVIMIENTOS!$B:$B,"&gt;="&amp;DATE(2026,3,1),MOVIMIENTOS!$B:$B,"&lt;"&amp;DATE(2026,4,1)))</f>
        <v/>
      </c>
      <c r="F46" s="5" t="str">
        <f aca="false">IF($C46="","",SUMIFS(MOVIMIENTOS!$I:$I,MOVIMIENTOS!$D:$D,"Aporte",MOVIMIENTOS!$E:$E,"Anual",MOVIMIENTOS!$J:$J,$C46,MOVIMIENTOS!$B:$B,"&gt;="&amp;DATE(2026,4,1),MOVIMIENTOS!$B:$B,"&lt;"&amp;DATE(2026,5,1)))</f>
        <v/>
      </c>
      <c r="G46" s="5" t="str">
        <f aca="false">IF($C46="","",SUMIFS(MOVIMIENTOS!$I:$I,MOVIMIENTOS!$D:$D,"Aporte",MOVIMIENTOS!$E:$E,"Anual",MOVIMIENTOS!$J:$J,$C46,MOVIMIENTOS!$B:$B,"&gt;="&amp;DATE(2026,5,1),MOVIMIENTOS!$B:$B,"&lt;"&amp;DATE(2026,6,1)))</f>
        <v/>
      </c>
      <c r="H46" s="5" t="str">
        <f aca="false">IF($C46="","",SUMIFS(MOVIMIENTOS!$I:$I,MOVIMIENTOS!$D:$D,"Aporte",MOVIMIENTOS!$E:$E,"Anual",MOVIMIENTOS!$J:$J,$C46,MOVIMIENTOS!$B:$B,"&gt;="&amp;DATE(2026,6,1),MOVIMIENTOS!$B:$B,"&lt;"&amp;DATE(2026,7,1)))</f>
        <v/>
      </c>
      <c r="I46" s="5" t="str">
        <f aca="false">IF($C46="","",SUMIFS(MOVIMIENTOS!$I:$I,MOVIMIENTOS!$D:$D,"Aporte",MOVIMIENTOS!$E:$E,"Anual",MOVIMIENTOS!$J:$J,$C46,MOVIMIENTOS!$B:$B,"&gt;="&amp;DATE(2026,7,1),MOVIMIENTOS!$B:$B,"&lt;"&amp;DATE(2026,8,1)))</f>
        <v/>
      </c>
      <c r="J46" s="5" t="str">
        <f aca="false">IF($C46="","",SUMIFS(MOVIMIENTOS!$I:$I,MOVIMIENTOS!$D:$D,"Aporte",MOVIMIENTOS!$E:$E,"Anual",MOVIMIENTOS!$J:$J,$C46,MOVIMIENTOS!$B:$B,"&gt;="&amp;DATE(2026,8,1),MOVIMIENTOS!$B:$B,"&lt;"&amp;DATE(2026,9,1)))</f>
        <v/>
      </c>
      <c r="K46" s="5" t="str">
        <f aca="false">IF($C46="","",SUMIFS(MOVIMIENTOS!$I:$I,MOVIMIENTOS!$D:$D,"Aporte",MOVIMIENTOS!$E:$E,"Anual",MOVIMIENTOS!$J:$J,$C46,MOVIMIENTOS!$B:$B,"&gt;="&amp;DATE(2026,9,1),MOVIMIENTOS!$B:$B,"&lt;"&amp;DATE(2026,10,1)))</f>
        <v/>
      </c>
      <c r="L46" s="5" t="str">
        <f aca="false">IF($C46="","",SUMIFS(MOVIMIENTOS!$I:$I,MOVIMIENTOS!$D:$D,"Aporte",MOVIMIENTOS!$E:$E,"Anual",MOVIMIENTOS!$J:$J,$C46,MOVIMIENTOS!$B:$B,"&gt;="&amp;DATE(2026,10,1),MOVIMIENTOS!$B:$B,"&lt;"&amp;DATE(2026,11,1)))</f>
        <v/>
      </c>
      <c r="M46" s="5" t="str">
        <f aca="false">IF($C46="","",SUMIFS(MOVIMIENTOS!$I:$I,MOVIMIENTOS!$D:$D,"Aporte",MOVIMIENTOS!$E:$E,"Anual",MOVIMIENTOS!$J:$J,$C46,MOVIMIENTOS!$B:$B,"&gt;="&amp;DATE(2026,11,1),MOVIMIENTOS!$B:$B,"&lt;"&amp;DATE(2026,12,1)))</f>
        <v/>
      </c>
      <c r="N46" s="5" t="str">
        <f aca="false">IF($C46="","",SUMIFS(MOVIMIENTOS!$I:$I,MOVIMIENTOS!$D:$D,"Aporte",MOVIMIENTOS!$E:$E,"Anual",MOVIMIENTOS!$J:$J,$C46,MOVIMIENTOS!$B:$B,"&gt;="&amp;DATE(2026,12,1),MOVIMIENTOS!$B:$B,"&lt;"&amp;DATE(2026,13,1)))</f>
        <v/>
      </c>
      <c r="O46" s="5" t="str">
        <f aca="false">IF($C46="","",SUM(E46:N46))</f>
        <v/>
      </c>
      <c r="P46" s="5" t="str">
        <f aca="false">IF($C46="","",SUMIFS(MOVIMIENTOS!$I:$I,MOVIMIENTOS!$D:$D,"Aporte",MOVIMIENTOS!$E:$E,"Extraordinaria",MOVIMIENTOS!$F:$F,P$4,MOVIMIENTOS!$J:$J,$C46))</f>
        <v/>
      </c>
      <c r="Q46" s="5" t="str">
        <f aca="false">IF($C46="","",SUMIFS(MOVIMIENTOS!$I:$I,MOVIMIENTOS!$D:$D,"Aporte",MOVIMIENTOS!$E:$E,"Extraordinaria",MOVIMIENTOS!$F:$F,Q$4,MOVIMIENTOS!$J:$J,$C46))</f>
        <v/>
      </c>
      <c r="R46" s="5" t="str">
        <f aca="false">IF($C46="","",SUMIFS(MOVIMIENTOS!$I:$I,MOVIMIENTOS!$D:$D,"Aporte",MOVIMIENTOS!$E:$E,"Extraordinaria",MOVIMIENTOS!$F:$F,R$4,MOVIMIENTOS!$J:$J,$C46))</f>
        <v/>
      </c>
      <c r="S46" s="5" t="str">
        <f aca="false">IF($C46="","",SUMIFS(MOVIMIENTOS!$I:$I,MOVIMIENTOS!$D:$D,"Aporte",MOVIMIENTOS!$E:$E,"Extraordinaria",MOVIMIENTOS!$F:$F,S$4,MOVIMIENTOS!$J:$J,$C46))</f>
        <v/>
      </c>
      <c r="T46" s="5" t="str">
        <f aca="false">IF($C46="","",SUMIFS(MOVIMIENTOS!$I:$I,MOVIMIENTOS!$D:$D,"Aporte",MOVIMIENTOS!$E:$E,"Extraordinaria",MOVIMIENTOS!$F:$F,T$4,MOVIMIENTOS!$J:$J,$C46))</f>
        <v/>
      </c>
      <c r="U46" s="5" t="str">
        <f aca="false">IF($C46="","",SUMIFS(MOVIMIENTOS!$I:$I,MOVIMIENTOS!$D:$D,"Aporte",MOVIMIENTOS!$E:$E,"Extraordinaria",MOVIMIENTOS!$F:$F,U$4,MOVIMIENTOS!$J:$J,$C46))</f>
        <v/>
      </c>
      <c r="V46" s="5" t="str">
        <f aca="false">IF($C46="","",SUMIFS(MOVIMIENTOS!$I:$I,MOVIMIENTOS!$D:$D,"Aporte",MOVIMIENTOS!$E:$E,"Extraordinaria",MOVIMIENTOS!$F:$F,V$4,MOVIMIENTOS!$J:$J,$C46))</f>
        <v/>
      </c>
      <c r="W46" s="5" t="str">
        <f aca="false">IF($C46="","",SUM(P46:V46))</f>
        <v/>
      </c>
      <c r="X46" s="5" t="str">
        <f aca="false">IF($C46="","",O46+W46)</f>
        <v/>
      </c>
      <c r="Y46" s="12"/>
    </row>
    <row r="47" customFormat="false" ht="15" hidden="false" customHeight="false" outlineLevel="0" collapsed="false">
      <c r="A47" s="12"/>
      <c r="B47" s="12"/>
      <c r="C47" s="12"/>
      <c r="D47" s="12"/>
      <c r="E47" s="5" t="str">
        <f aca="false">IF($C47="","",SUMIFS(MOVIMIENTOS!$I:$I,MOVIMIENTOS!$D:$D,"Aporte",MOVIMIENTOS!$E:$E,"Anual",MOVIMIENTOS!$J:$J,$C47,MOVIMIENTOS!$B:$B,"&gt;="&amp;DATE(2026,3,1),MOVIMIENTOS!$B:$B,"&lt;"&amp;DATE(2026,4,1)))</f>
        <v/>
      </c>
      <c r="F47" s="5" t="str">
        <f aca="false">IF($C47="","",SUMIFS(MOVIMIENTOS!$I:$I,MOVIMIENTOS!$D:$D,"Aporte",MOVIMIENTOS!$E:$E,"Anual",MOVIMIENTOS!$J:$J,$C47,MOVIMIENTOS!$B:$B,"&gt;="&amp;DATE(2026,4,1),MOVIMIENTOS!$B:$B,"&lt;"&amp;DATE(2026,5,1)))</f>
        <v/>
      </c>
      <c r="G47" s="5" t="str">
        <f aca="false">IF($C47="","",SUMIFS(MOVIMIENTOS!$I:$I,MOVIMIENTOS!$D:$D,"Aporte",MOVIMIENTOS!$E:$E,"Anual",MOVIMIENTOS!$J:$J,$C47,MOVIMIENTOS!$B:$B,"&gt;="&amp;DATE(2026,5,1),MOVIMIENTOS!$B:$B,"&lt;"&amp;DATE(2026,6,1)))</f>
        <v/>
      </c>
      <c r="H47" s="5" t="str">
        <f aca="false">IF($C47="","",SUMIFS(MOVIMIENTOS!$I:$I,MOVIMIENTOS!$D:$D,"Aporte",MOVIMIENTOS!$E:$E,"Anual",MOVIMIENTOS!$J:$J,$C47,MOVIMIENTOS!$B:$B,"&gt;="&amp;DATE(2026,6,1),MOVIMIENTOS!$B:$B,"&lt;"&amp;DATE(2026,7,1)))</f>
        <v/>
      </c>
      <c r="I47" s="5" t="str">
        <f aca="false">IF($C47="","",SUMIFS(MOVIMIENTOS!$I:$I,MOVIMIENTOS!$D:$D,"Aporte",MOVIMIENTOS!$E:$E,"Anual",MOVIMIENTOS!$J:$J,$C47,MOVIMIENTOS!$B:$B,"&gt;="&amp;DATE(2026,7,1),MOVIMIENTOS!$B:$B,"&lt;"&amp;DATE(2026,8,1)))</f>
        <v/>
      </c>
      <c r="J47" s="5" t="str">
        <f aca="false">IF($C47="","",SUMIFS(MOVIMIENTOS!$I:$I,MOVIMIENTOS!$D:$D,"Aporte",MOVIMIENTOS!$E:$E,"Anual",MOVIMIENTOS!$J:$J,$C47,MOVIMIENTOS!$B:$B,"&gt;="&amp;DATE(2026,8,1),MOVIMIENTOS!$B:$B,"&lt;"&amp;DATE(2026,9,1)))</f>
        <v/>
      </c>
      <c r="K47" s="5" t="str">
        <f aca="false">IF($C47="","",SUMIFS(MOVIMIENTOS!$I:$I,MOVIMIENTOS!$D:$D,"Aporte",MOVIMIENTOS!$E:$E,"Anual",MOVIMIENTOS!$J:$J,$C47,MOVIMIENTOS!$B:$B,"&gt;="&amp;DATE(2026,9,1),MOVIMIENTOS!$B:$B,"&lt;"&amp;DATE(2026,10,1)))</f>
        <v/>
      </c>
      <c r="L47" s="5" t="str">
        <f aca="false">IF($C47="","",SUMIFS(MOVIMIENTOS!$I:$I,MOVIMIENTOS!$D:$D,"Aporte",MOVIMIENTOS!$E:$E,"Anual",MOVIMIENTOS!$J:$J,$C47,MOVIMIENTOS!$B:$B,"&gt;="&amp;DATE(2026,10,1),MOVIMIENTOS!$B:$B,"&lt;"&amp;DATE(2026,11,1)))</f>
        <v/>
      </c>
      <c r="M47" s="5" t="str">
        <f aca="false">IF($C47="","",SUMIFS(MOVIMIENTOS!$I:$I,MOVIMIENTOS!$D:$D,"Aporte",MOVIMIENTOS!$E:$E,"Anual",MOVIMIENTOS!$J:$J,$C47,MOVIMIENTOS!$B:$B,"&gt;="&amp;DATE(2026,11,1),MOVIMIENTOS!$B:$B,"&lt;"&amp;DATE(2026,12,1)))</f>
        <v/>
      </c>
      <c r="N47" s="5" t="str">
        <f aca="false">IF($C47="","",SUMIFS(MOVIMIENTOS!$I:$I,MOVIMIENTOS!$D:$D,"Aporte",MOVIMIENTOS!$E:$E,"Anual",MOVIMIENTOS!$J:$J,$C47,MOVIMIENTOS!$B:$B,"&gt;="&amp;DATE(2026,12,1),MOVIMIENTOS!$B:$B,"&lt;"&amp;DATE(2026,13,1)))</f>
        <v/>
      </c>
      <c r="O47" s="5" t="str">
        <f aca="false">IF($C47="","",SUM(E47:N47))</f>
        <v/>
      </c>
      <c r="P47" s="5" t="str">
        <f aca="false">IF($C47="","",SUMIFS(MOVIMIENTOS!$I:$I,MOVIMIENTOS!$D:$D,"Aporte",MOVIMIENTOS!$E:$E,"Extraordinaria",MOVIMIENTOS!$F:$F,P$4,MOVIMIENTOS!$J:$J,$C47))</f>
        <v/>
      </c>
      <c r="Q47" s="5" t="str">
        <f aca="false">IF($C47="","",SUMIFS(MOVIMIENTOS!$I:$I,MOVIMIENTOS!$D:$D,"Aporte",MOVIMIENTOS!$E:$E,"Extraordinaria",MOVIMIENTOS!$F:$F,Q$4,MOVIMIENTOS!$J:$J,$C47))</f>
        <v/>
      </c>
      <c r="R47" s="5" t="str">
        <f aca="false">IF($C47="","",SUMIFS(MOVIMIENTOS!$I:$I,MOVIMIENTOS!$D:$D,"Aporte",MOVIMIENTOS!$E:$E,"Extraordinaria",MOVIMIENTOS!$F:$F,R$4,MOVIMIENTOS!$J:$J,$C47))</f>
        <v/>
      </c>
      <c r="S47" s="5" t="str">
        <f aca="false">IF($C47="","",SUMIFS(MOVIMIENTOS!$I:$I,MOVIMIENTOS!$D:$D,"Aporte",MOVIMIENTOS!$E:$E,"Extraordinaria",MOVIMIENTOS!$F:$F,S$4,MOVIMIENTOS!$J:$J,$C47))</f>
        <v/>
      </c>
      <c r="T47" s="5" t="str">
        <f aca="false">IF($C47="","",SUMIFS(MOVIMIENTOS!$I:$I,MOVIMIENTOS!$D:$D,"Aporte",MOVIMIENTOS!$E:$E,"Extraordinaria",MOVIMIENTOS!$F:$F,T$4,MOVIMIENTOS!$J:$J,$C47))</f>
        <v/>
      </c>
      <c r="U47" s="5" t="str">
        <f aca="false">IF($C47="","",SUMIFS(MOVIMIENTOS!$I:$I,MOVIMIENTOS!$D:$D,"Aporte",MOVIMIENTOS!$E:$E,"Extraordinaria",MOVIMIENTOS!$F:$F,U$4,MOVIMIENTOS!$J:$J,$C47))</f>
        <v/>
      </c>
      <c r="V47" s="5" t="str">
        <f aca="false">IF($C47="","",SUMIFS(MOVIMIENTOS!$I:$I,MOVIMIENTOS!$D:$D,"Aporte",MOVIMIENTOS!$E:$E,"Extraordinaria",MOVIMIENTOS!$F:$F,V$4,MOVIMIENTOS!$J:$J,$C47))</f>
        <v/>
      </c>
      <c r="W47" s="5" t="str">
        <f aca="false">IF($C47="","",SUM(P47:V47))</f>
        <v/>
      </c>
      <c r="X47" s="5" t="str">
        <f aca="false">IF($C47="","",O47+W47)</f>
        <v/>
      </c>
      <c r="Y47" s="12"/>
    </row>
    <row r="48" customFormat="false" ht="15" hidden="false" customHeight="false" outlineLevel="0" collapsed="false">
      <c r="A48" s="12"/>
      <c r="B48" s="12"/>
      <c r="C48" s="12"/>
      <c r="D48" s="12"/>
      <c r="E48" s="5" t="str">
        <f aca="false">IF($C48="","",SUMIFS(MOVIMIENTOS!$I:$I,MOVIMIENTOS!$D:$D,"Aporte",MOVIMIENTOS!$E:$E,"Anual",MOVIMIENTOS!$J:$J,$C48,MOVIMIENTOS!$B:$B,"&gt;="&amp;DATE(2026,3,1),MOVIMIENTOS!$B:$B,"&lt;"&amp;DATE(2026,4,1)))</f>
        <v/>
      </c>
      <c r="F48" s="5" t="str">
        <f aca="false">IF($C48="","",SUMIFS(MOVIMIENTOS!$I:$I,MOVIMIENTOS!$D:$D,"Aporte",MOVIMIENTOS!$E:$E,"Anual",MOVIMIENTOS!$J:$J,$C48,MOVIMIENTOS!$B:$B,"&gt;="&amp;DATE(2026,4,1),MOVIMIENTOS!$B:$B,"&lt;"&amp;DATE(2026,5,1)))</f>
        <v/>
      </c>
      <c r="G48" s="5" t="str">
        <f aca="false">IF($C48="","",SUMIFS(MOVIMIENTOS!$I:$I,MOVIMIENTOS!$D:$D,"Aporte",MOVIMIENTOS!$E:$E,"Anual",MOVIMIENTOS!$J:$J,$C48,MOVIMIENTOS!$B:$B,"&gt;="&amp;DATE(2026,5,1),MOVIMIENTOS!$B:$B,"&lt;"&amp;DATE(2026,6,1)))</f>
        <v/>
      </c>
      <c r="H48" s="5" t="str">
        <f aca="false">IF($C48="","",SUMIFS(MOVIMIENTOS!$I:$I,MOVIMIENTOS!$D:$D,"Aporte",MOVIMIENTOS!$E:$E,"Anual",MOVIMIENTOS!$J:$J,$C48,MOVIMIENTOS!$B:$B,"&gt;="&amp;DATE(2026,6,1),MOVIMIENTOS!$B:$B,"&lt;"&amp;DATE(2026,7,1)))</f>
        <v/>
      </c>
      <c r="I48" s="5" t="str">
        <f aca="false">IF($C48="","",SUMIFS(MOVIMIENTOS!$I:$I,MOVIMIENTOS!$D:$D,"Aporte",MOVIMIENTOS!$E:$E,"Anual",MOVIMIENTOS!$J:$J,$C48,MOVIMIENTOS!$B:$B,"&gt;="&amp;DATE(2026,7,1),MOVIMIENTOS!$B:$B,"&lt;"&amp;DATE(2026,8,1)))</f>
        <v/>
      </c>
      <c r="J48" s="5" t="str">
        <f aca="false">IF($C48="","",SUMIFS(MOVIMIENTOS!$I:$I,MOVIMIENTOS!$D:$D,"Aporte",MOVIMIENTOS!$E:$E,"Anual",MOVIMIENTOS!$J:$J,$C48,MOVIMIENTOS!$B:$B,"&gt;="&amp;DATE(2026,8,1),MOVIMIENTOS!$B:$B,"&lt;"&amp;DATE(2026,9,1)))</f>
        <v/>
      </c>
      <c r="K48" s="5" t="str">
        <f aca="false">IF($C48="","",SUMIFS(MOVIMIENTOS!$I:$I,MOVIMIENTOS!$D:$D,"Aporte",MOVIMIENTOS!$E:$E,"Anual",MOVIMIENTOS!$J:$J,$C48,MOVIMIENTOS!$B:$B,"&gt;="&amp;DATE(2026,9,1),MOVIMIENTOS!$B:$B,"&lt;"&amp;DATE(2026,10,1)))</f>
        <v/>
      </c>
      <c r="L48" s="5" t="str">
        <f aca="false">IF($C48="","",SUMIFS(MOVIMIENTOS!$I:$I,MOVIMIENTOS!$D:$D,"Aporte",MOVIMIENTOS!$E:$E,"Anual",MOVIMIENTOS!$J:$J,$C48,MOVIMIENTOS!$B:$B,"&gt;="&amp;DATE(2026,10,1),MOVIMIENTOS!$B:$B,"&lt;"&amp;DATE(2026,11,1)))</f>
        <v/>
      </c>
      <c r="M48" s="5" t="str">
        <f aca="false">IF($C48="","",SUMIFS(MOVIMIENTOS!$I:$I,MOVIMIENTOS!$D:$D,"Aporte",MOVIMIENTOS!$E:$E,"Anual",MOVIMIENTOS!$J:$J,$C48,MOVIMIENTOS!$B:$B,"&gt;="&amp;DATE(2026,11,1),MOVIMIENTOS!$B:$B,"&lt;"&amp;DATE(2026,12,1)))</f>
        <v/>
      </c>
      <c r="N48" s="5" t="str">
        <f aca="false">IF($C48="","",SUMIFS(MOVIMIENTOS!$I:$I,MOVIMIENTOS!$D:$D,"Aporte",MOVIMIENTOS!$E:$E,"Anual",MOVIMIENTOS!$J:$J,$C48,MOVIMIENTOS!$B:$B,"&gt;="&amp;DATE(2026,12,1),MOVIMIENTOS!$B:$B,"&lt;"&amp;DATE(2026,13,1)))</f>
        <v/>
      </c>
      <c r="O48" s="5" t="str">
        <f aca="false">IF($C48="","",SUM(E48:N48))</f>
        <v/>
      </c>
      <c r="P48" s="5" t="str">
        <f aca="false">IF($C48="","",SUMIFS(MOVIMIENTOS!$I:$I,MOVIMIENTOS!$D:$D,"Aporte",MOVIMIENTOS!$E:$E,"Extraordinaria",MOVIMIENTOS!$F:$F,P$4,MOVIMIENTOS!$J:$J,$C48))</f>
        <v/>
      </c>
      <c r="Q48" s="5" t="str">
        <f aca="false">IF($C48="","",SUMIFS(MOVIMIENTOS!$I:$I,MOVIMIENTOS!$D:$D,"Aporte",MOVIMIENTOS!$E:$E,"Extraordinaria",MOVIMIENTOS!$F:$F,Q$4,MOVIMIENTOS!$J:$J,$C48))</f>
        <v/>
      </c>
      <c r="R48" s="5" t="str">
        <f aca="false">IF($C48="","",SUMIFS(MOVIMIENTOS!$I:$I,MOVIMIENTOS!$D:$D,"Aporte",MOVIMIENTOS!$E:$E,"Extraordinaria",MOVIMIENTOS!$F:$F,R$4,MOVIMIENTOS!$J:$J,$C48))</f>
        <v/>
      </c>
      <c r="S48" s="5" t="str">
        <f aca="false">IF($C48="","",SUMIFS(MOVIMIENTOS!$I:$I,MOVIMIENTOS!$D:$D,"Aporte",MOVIMIENTOS!$E:$E,"Extraordinaria",MOVIMIENTOS!$F:$F,S$4,MOVIMIENTOS!$J:$J,$C48))</f>
        <v/>
      </c>
      <c r="T48" s="5" t="str">
        <f aca="false">IF($C48="","",SUMIFS(MOVIMIENTOS!$I:$I,MOVIMIENTOS!$D:$D,"Aporte",MOVIMIENTOS!$E:$E,"Extraordinaria",MOVIMIENTOS!$F:$F,T$4,MOVIMIENTOS!$J:$J,$C48))</f>
        <v/>
      </c>
      <c r="U48" s="5" t="str">
        <f aca="false">IF($C48="","",SUMIFS(MOVIMIENTOS!$I:$I,MOVIMIENTOS!$D:$D,"Aporte",MOVIMIENTOS!$E:$E,"Extraordinaria",MOVIMIENTOS!$F:$F,U$4,MOVIMIENTOS!$J:$J,$C48))</f>
        <v/>
      </c>
      <c r="V48" s="5" t="str">
        <f aca="false">IF($C48="","",SUMIFS(MOVIMIENTOS!$I:$I,MOVIMIENTOS!$D:$D,"Aporte",MOVIMIENTOS!$E:$E,"Extraordinaria",MOVIMIENTOS!$F:$F,V$4,MOVIMIENTOS!$J:$J,$C48))</f>
        <v/>
      </c>
      <c r="W48" s="5" t="str">
        <f aca="false">IF($C48="","",SUM(P48:V48))</f>
        <v/>
      </c>
      <c r="X48" s="5" t="str">
        <f aca="false">IF($C48="","",O48+W48)</f>
        <v/>
      </c>
      <c r="Y48" s="12"/>
    </row>
    <row r="49" customFormat="false" ht="15" hidden="false" customHeight="false" outlineLevel="0" collapsed="false">
      <c r="A49" s="12"/>
      <c r="B49" s="12"/>
      <c r="C49" s="12"/>
      <c r="D49" s="12"/>
      <c r="E49" s="5" t="str">
        <f aca="false">IF($C49="","",SUMIFS(MOVIMIENTOS!$I:$I,MOVIMIENTOS!$D:$D,"Aporte",MOVIMIENTOS!$E:$E,"Anual",MOVIMIENTOS!$J:$J,$C49,MOVIMIENTOS!$B:$B,"&gt;="&amp;DATE(2026,3,1),MOVIMIENTOS!$B:$B,"&lt;"&amp;DATE(2026,4,1)))</f>
        <v/>
      </c>
      <c r="F49" s="5" t="str">
        <f aca="false">IF($C49="","",SUMIFS(MOVIMIENTOS!$I:$I,MOVIMIENTOS!$D:$D,"Aporte",MOVIMIENTOS!$E:$E,"Anual",MOVIMIENTOS!$J:$J,$C49,MOVIMIENTOS!$B:$B,"&gt;="&amp;DATE(2026,4,1),MOVIMIENTOS!$B:$B,"&lt;"&amp;DATE(2026,5,1)))</f>
        <v/>
      </c>
      <c r="G49" s="5" t="str">
        <f aca="false">IF($C49="","",SUMIFS(MOVIMIENTOS!$I:$I,MOVIMIENTOS!$D:$D,"Aporte",MOVIMIENTOS!$E:$E,"Anual",MOVIMIENTOS!$J:$J,$C49,MOVIMIENTOS!$B:$B,"&gt;="&amp;DATE(2026,5,1),MOVIMIENTOS!$B:$B,"&lt;"&amp;DATE(2026,6,1)))</f>
        <v/>
      </c>
      <c r="H49" s="5" t="str">
        <f aca="false">IF($C49="","",SUMIFS(MOVIMIENTOS!$I:$I,MOVIMIENTOS!$D:$D,"Aporte",MOVIMIENTOS!$E:$E,"Anual",MOVIMIENTOS!$J:$J,$C49,MOVIMIENTOS!$B:$B,"&gt;="&amp;DATE(2026,6,1),MOVIMIENTOS!$B:$B,"&lt;"&amp;DATE(2026,7,1)))</f>
        <v/>
      </c>
      <c r="I49" s="5" t="str">
        <f aca="false">IF($C49="","",SUMIFS(MOVIMIENTOS!$I:$I,MOVIMIENTOS!$D:$D,"Aporte",MOVIMIENTOS!$E:$E,"Anual",MOVIMIENTOS!$J:$J,$C49,MOVIMIENTOS!$B:$B,"&gt;="&amp;DATE(2026,7,1),MOVIMIENTOS!$B:$B,"&lt;"&amp;DATE(2026,8,1)))</f>
        <v/>
      </c>
      <c r="J49" s="5" t="str">
        <f aca="false">IF($C49="","",SUMIFS(MOVIMIENTOS!$I:$I,MOVIMIENTOS!$D:$D,"Aporte",MOVIMIENTOS!$E:$E,"Anual",MOVIMIENTOS!$J:$J,$C49,MOVIMIENTOS!$B:$B,"&gt;="&amp;DATE(2026,8,1),MOVIMIENTOS!$B:$B,"&lt;"&amp;DATE(2026,9,1)))</f>
        <v/>
      </c>
      <c r="K49" s="5" t="str">
        <f aca="false">IF($C49="","",SUMIFS(MOVIMIENTOS!$I:$I,MOVIMIENTOS!$D:$D,"Aporte",MOVIMIENTOS!$E:$E,"Anual",MOVIMIENTOS!$J:$J,$C49,MOVIMIENTOS!$B:$B,"&gt;="&amp;DATE(2026,9,1),MOVIMIENTOS!$B:$B,"&lt;"&amp;DATE(2026,10,1)))</f>
        <v/>
      </c>
      <c r="L49" s="5" t="str">
        <f aca="false">IF($C49="","",SUMIFS(MOVIMIENTOS!$I:$I,MOVIMIENTOS!$D:$D,"Aporte",MOVIMIENTOS!$E:$E,"Anual",MOVIMIENTOS!$J:$J,$C49,MOVIMIENTOS!$B:$B,"&gt;="&amp;DATE(2026,10,1),MOVIMIENTOS!$B:$B,"&lt;"&amp;DATE(2026,11,1)))</f>
        <v/>
      </c>
      <c r="M49" s="5" t="str">
        <f aca="false">IF($C49="","",SUMIFS(MOVIMIENTOS!$I:$I,MOVIMIENTOS!$D:$D,"Aporte",MOVIMIENTOS!$E:$E,"Anual",MOVIMIENTOS!$J:$J,$C49,MOVIMIENTOS!$B:$B,"&gt;="&amp;DATE(2026,11,1),MOVIMIENTOS!$B:$B,"&lt;"&amp;DATE(2026,12,1)))</f>
        <v/>
      </c>
      <c r="N49" s="5" t="str">
        <f aca="false">IF($C49="","",SUMIFS(MOVIMIENTOS!$I:$I,MOVIMIENTOS!$D:$D,"Aporte",MOVIMIENTOS!$E:$E,"Anual",MOVIMIENTOS!$J:$J,$C49,MOVIMIENTOS!$B:$B,"&gt;="&amp;DATE(2026,12,1),MOVIMIENTOS!$B:$B,"&lt;"&amp;DATE(2026,13,1)))</f>
        <v/>
      </c>
      <c r="O49" s="5" t="str">
        <f aca="false">IF($C49="","",SUM(E49:N49))</f>
        <v/>
      </c>
      <c r="P49" s="5" t="str">
        <f aca="false">IF($C49="","",SUMIFS(MOVIMIENTOS!$I:$I,MOVIMIENTOS!$D:$D,"Aporte",MOVIMIENTOS!$E:$E,"Extraordinaria",MOVIMIENTOS!$F:$F,P$4,MOVIMIENTOS!$J:$J,$C49))</f>
        <v/>
      </c>
      <c r="Q49" s="5" t="str">
        <f aca="false">IF($C49="","",SUMIFS(MOVIMIENTOS!$I:$I,MOVIMIENTOS!$D:$D,"Aporte",MOVIMIENTOS!$E:$E,"Extraordinaria",MOVIMIENTOS!$F:$F,Q$4,MOVIMIENTOS!$J:$J,$C49))</f>
        <v/>
      </c>
      <c r="R49" s="5" t="str">
        <f aca="false">IF($C49="","",SUMIFS(MOVIMIENTOS!$I:$I,MOVIMIENTOS!$D:$D,"Aporte",MOVIMIENTOS!$E:$E,"Extraordinaria",MOVIMIENTOS!$F:$F,R$4,MOVIMIENTOS!$J:$J,$C49))</f>
        <v/>
      </c>
      <c r="S49" s="5" t="str">
        <f aca="false">IF($C49="","",SUMIFS(MOVIMIENTOS!$I:$I,MOVIMIENTOS!$D:$D,"Aporte",MOVIMIENTOS!$E:$E,"Extraordinaria",MOVIMIENTOS!$F:$F,S$4,MOVIMIENTOS!$J:$J,$C49))</f>
        <v/>
      </c>
      <c r="T49" s="5" t="str">
        <f aca="false">IF($C49="","",SUMIFS(MOVIMIENTOS!$I:$I,MOVIMIENTOS!$D:$D,"Aporte",MOVIMIENTOS!$E:$E,"Extraordinaria",MOVIMIENTOS!$F:$F,T$4,MOVIMIENTOS!$J:$J,$C49))</f>
        <v/>
      </c>
      <c r="U49" s="5" t="str">
        <f aca="false">IF($C49="","",SUMIFS(MOVIMIENTOS!$I:$I,MOVIMIENTOS!$D:$D,"Aporte",MOVIMIENTOS!$E:$E,"Extraordinaria",MOVIMIENTOS!$F:$F,U$4,MOVIMIENTOS!$J:$J,$C49))</f>
        <v/>
      </c>
      <c r="V49" s="5" t="str">
        <f aca="false">IF($C49="","",SUMIFS(MOVIMIENTOS!$I:$I,MOVIMIENTOS!$D:$D,"Aporte",MOVIMIENTOS!$E:$E,"Extraordinaria",MOVIMIENTOS!$F:$F,V$4,MOVIMIENTOS!$J:$J,$C49))</f>
        <v/>
      </c>
      <c r="W49" s="5" t="str">
        <f aca="false">IF($C49="","",SUM(P49:V49))</f>
        <v/>
      </c>
      <c r="X49" s="5" t="str">
        <f aca="false">IF($C49="","",O49+W49)</f>
        <v/>
      </c>
      <c r="Y49" s="12"/>
    </row>
    <row r="50" customFormat="false" ht="15" hidden="false" customHeight="false" outlineLevel="0" collapsed="false">
      <c r="A50" s="12"/>
      <c r="B50" s="12"/>
      <c r="C50" s="12"/>
      <c r="D50" s="12"/>
      <c r="E50" s="5" t="str">
        <f aca="false">IF($C50="","",SUMIFS(MOVIMIENTOS!$I:$I,MOVIMIENTOS!$D:$D,"Aporte",MOVIMIENTOS!$E:$E,"Anual",MOVIMIENTOS!$J:$J,$C50,MOVIMIENTOS!$B:$B,"&gt;="&amp;DATE(2026,3,1),MOVIMIENTOS!$B:$B,"&lt;"&amp;DATE(2026,4,1)))</f>
        <v/>
      </c>
      <c r="F50" s="5" t="str">
        <f aca="false">IF($C50="","",SUMIFS(MOVIMIENTOS!$I:$I,MOVIMIENTOS!$D:$D,"Aporte",MOVIMIENTOS!$E:$E,"Anual",MOVIMIENTOS!$J:$J,$C50,MOVIMIENTOS!$B:$B,"&gt;="&amp;DATE(2026,4,1),MOVIMIENTOS!$B:$B,"&lt;"&amp;DATE(2026,5,1)))</f>
        <v/>
      </c>
      <c r="G50" s="5" t="str">
        <f aca="false">IF($C50="","",SUMIFS(MOVIMIENTOS!$I:$I,MOVIMIENTOS!$D:$D,"Aporte",MOVIMIENTOS!$E:$E,"Anual",MOVIMIENTOS!$J:$J,$C50,MOVIMIENTOS!$B:$B,"&gt;="&amp;DATE(2026,5,1),MOVIMIENTOS!$B:$B,"&lt;"&amp;DATE(2026,6,1)))</f>
        <v/>
      </c>
      <c r="H50" s="5" t="str">
        <f aca="false">IF($C50="","",SUMIFS(MOVIMIENTOS!$I:$I,MOVIMIENTOS!$D:$D,"Aporte",MOVIMIENTOS!$E:$E,"Anual",MOVIMIENTOS!$J:$J,$C50,MOVIMIENTOS!$B:$B,"&gt;="&amp;DATE(2026,6,1),MOVIMIENTOS!$B:$B,"&lt;"&amp;DATE(2026,7,1)))</f>
        <v/>
      </c>
      <c r="I50" s="5" t="str">
        <f aca="false">IF($C50="","",SUMIFS(MOVIMIENTOS!$I:$I,MOVIMIENTOS!$D:$D,"Aporte",MOVIMIENTOS!$E:$E,"Anual",MOVIMIENTOS!$J:$J,$C50,MOVIMIENTOS!$B:$B,"&gt;="&amp;DATE(2026,7,1),MOVIMIENTOS!$B:$B,"&lt;"&amp;DATE(2026,8,1)))</f>
        <v/>
      </c>
      <c r="J50" s="5" t="str">
        <f aca="false">IF($C50="","",SUMIFS(MOVIMIENTOS!$I:$I,MOVIMIENTOS!$D:$D,"Aporte",MOVIMIENTOS!$E:$E,"Anual",MOVIMIENTOS!$J:$J,$C50,MOVIMIENTOS!$B:$B,"&gt;="&amp;DATE(2026,8,1),MOVIMIENTOS!$B:$B,"&lt;"&amp;DATE(2026,9,1)))</f>
        <v/>
      </c>
      <c r="K50" s="5" t="str">
        <f aca="false">IF($C50="","",SUMIFS(MOVIMIENTOS!$I:$I,MOVIMIENTOS!$D:$D,"Aporte",MOVIMIENTOS!$E:$E,"Anual",MOVIMIENTOS!$J:$J,$C50,MOVIMIENTOS!$B:$B,"&gt;="&amp;DATE(2026,9,1),MOVIMIENTOS!$B:$B,"&lt;"&amp;DATE(2026,10,1)))</f>
        <v/>
      </c>
      <c r="L50" s="5" t="str">
        <f aca="false">IF($C50="","",SUMIFS(MOVIMIENTOS!$I:$I,MOVIMIENTOS!$D:$D,"Aporte",MOVIMIENTOS!$E:$E,"Anual",MOVIMIENTOS!$J:$J,$C50,MOVIMIENTOS!$B:$B,"&gt;="&amp;DATE(2026,10,1),MOVIMIENTOS!$B:$B,"&lt;"&amp;DATE(2026,11,1)))</f>
        <v/>
      </c>
      <c r="M50" s="5" t="str">
        <f aca="false">IF($C50="","",SUMIFS(MOVIMIENTOS!$I:$I,MOVIMIENTOS!$D:$D,"Aporte",MOVIMIENTOS!$E:$E,"Anual",MOVIMIENTOS!$J:$J,$C50,MOVIMIENTOS!$B:$B,"&gt;="&amp;DATE(2026,11,1),MOVIMIENTOS!$B:$B,"&lt;"&amp;DATE(2026,12,1)))</f>
        <v/>
      </c>
      <c r="N50" s="5" t="str">
        <f aca="false">IF($C50="","",SUMIFS(MOVIMIENTOS!$I:$I,MOVIMIENTOS!$D:$D,"Aporte",MOVIMIENTOS!$E:$E,"Anual",MOVIMIENTOS!$J:$J,$C50,MOVIMIENTOS!$B:$B,"&gt;="&amp;DATE(2026,12,1),MOVIMIENTOS!$B:$B,"&lt;"&amp;DATE(2026,13,1)))</f>
        <v/>
      </c>
      <c r="O50" s="5" t="str">
        <f aca="false">IF($C50="","",SUM(E50:N50))</f>
        <v/>
      </c>
      <c r="P50" s="5" t="str">
        <f aca="false">IF($C50="","",SUMIFS(MOVIMIENTOS!$I:$I,MOVIMIENTOS!$D:$D,"Aporte",MOVIMIENTOS!$E:$E,"Extraordinaria",MOVIMIENTOS!$F:$F,P$4,MOVIMIENTOS!$J:$J,$C50))</f>
        <v/>
      </c>
      <c r="Q50" s="5" t="str">
        <f aca="false">IF($C50="","",SUMIFS(MOVIMIENTOS!$I:$I,MOVIMIENTOS!$D:$D,"Aporte",MOVIMIENTOS!$E:$E,"Extraordinaria",MOVIMIENTOS!$F:$F,Q$4,MOVIMIENTOS!$J:$J,$C50))</f>
        <v/>
      </c>
      <c r="R50" s="5" t="str">
        <f aca="false">IF($C50="","",SUMIFS(MOVIMIENTOS!$I:$I,MOVIMIENTOS!$D:$D,"Aporte",MOVIMIENTOS!$E:$E,"Extraordinaria",MOVIMIENTOS!$F:$F,R$4,MOVIMIENTOS!$J:$J,$C50))</f>
        <v/>
      </c>
      <c r="S50" s="5" t="str">
        <f aca="false">IF($C50="","",SUMIFS(MOVIMIENTOS!$I:$I,MOVIMIENTOS!$D:$D,"Aporte",MOVIMIENTOS!$E:$E,"Extraordinaria",MOVIMIENTOS!$F:$F,S$4,MOVIMIENTOS!$J:$J,$C50))</f>
        <v/>
      </c>
      <c r="T50" s="5" t="str">
        <f aca="false">IF($C50="","",SUMIFS(MOVIMIENTOS!$I:$I,MOVIMIENTOS!$D:$D,"Aporte",MOVIMIENTOS!$E:$E,"Extraordinaria",MOVIMIENTOS!$F:$F,T$4,MOVIMIENTOS!$J:$J,$C50))</f>
        <v/>
      </c>
      <c r="U50" s="5" t="str">
        <f aca="false">IF($C50="","",SUMIFS(MOVIMIENTOS!$I:$I,MOVIMIENTOS!$D:$D,"Aporte",MOVIMIENTOS!$E:$E,"Extraordinaria",MOVIMIENTOS!$F:$F,U$4,MOVIMIENTOS!$J:$J,$C50))</f>
        <v/>
      </c>
      <c r="V50" s="5" t="str">
        <f aca="false">IF($C50="","",SUMIFS(MOVIMIENTOS!$I:$I,MOVIMIENTOS!$D:$D,"Aporte",MOVIMIENTOS!$E:$E,"Extraordinaria",MOVIMIENTOS!$F:$F,V$4,MOVIMIENTOS!$J:$J,$C50))</f>
        <v/>
      </c>
      <c r="W50" s="5" t="str">
        <f aca="false">IF($C50="","",SUM(P50:V50))</f>
        <v/>
      </c>
      <c r="X50" s="5" t="str">
        <f aca="false">IF($C50="","",O50+W50)</f>
        <v/>
      </c>
      <c r="Y50" s="12"/>
    </row>
    <row r="51" customFormat="false" ht="15" hidden="false" customHeight="false" outlineLevel="0" collapsed="false">
      <c r="A51" s="12"/>
      <c r="B51" s="12"/>
      <c r="C51" s="12"/>
      <c r="D51" s="12"/>
      <c r="E51" s="5" t="str">
        <f aca="false">IF($C51="","",SUMIFS(MOVIMIENTOS!$I:$I,MOVIMIENTOS!$D:$D,"Aporte",MOVIMIENTOS!$E:$E,"Anual",MOVIMIENTOS!$J:$J,$C51,MOVIMIENTOS!$B:$B,"&gt;="&amp;DATE(2026,3,1),MOVIMIENTOS!$B:$B,"&lt;"&amp;DATE(2026,4,1)))</f>
        <v/>
      </c>
      <c r="F51" s="5" t="str">
        <f aca="false">IF($C51="","",SUMIFS(MOVIMIENTOS!$I:$I,MOVIMIENTOS!$D:$D,"Aporte",MOVIMIENTOS!$E:$E,"Anual",MOVIMIENTOS!$J:$J,$C51,MOVIMIENTOS!$B:$B,"&gt;="&amp;DATE(2026,4,1),MOVIMIENTOS!$B:$B,"&lt;"&amp;DATE(2026,5,1)))</f>
        <v/>
      </c>
      <c r="G51" s="5" t="str">
        <f aca="false">IF($C51="","",SUMIFS(MOVIMIENTOS!$I:$I,MOVIMIENTOS!$D:$D,"Aporte",MOVIMIENTOS!$E:$E,"Anual",MOVIMIENTOS!$J:$J,$C51,MOVIMIENTOS!$B:$B,"&gt;="&amp;DATE(2026,5,1),MOVIMIENTOS!$B:$B,"&lt;"&amp;DATE(2026,6,1)))</f>
        <v/>
      </c>
      <c r="H51" s="5" t="str">
        <f aca="false">IF($C51="","",SUMIFS(MOVIMIENTOS!$I:$I,MOVIMIENTOS!$D:$D,"Aporte",MOVIMIENTOS!$E:$E,"Anual",MOVIMIENTOS!$J:$J,$C51,MOVIMIENTOS!$B:$B,"&gt;="&amp;DATE(2026,6,1),MOVIMIENTOS!$B:$B,"&lt;"&amp;DATE(2026,7,1)))</f>
        <v/>
      </c>
      <c r="I51" s="5" t="str">
        <f aca="false">IF($C51="","",SUMIFS(MOVIMIENTOS!$I:$I,MOVIMIENTOS!$D:$D,"Aporte",MOVIMIENTOS!$E:$E,"Anual",MOVIMIENTOS!$J:$J,$C51,MOVIMIENTOS!$B:$B,"&gt;="&amp;DATE(2026,7,1),MOVIMIENTOS!$B:$B,"&lt;"&amp;DATE(2026,8,1)))</f>
        <v/>
      </c>
      <c r="J51" s="5" t="str">
        <f aca="false">IF($C51="","",SUMIFS(MOVIMIENTOS!$I:$I,MOVIMIENTOS!$D:$D,"Aporte",MOVIMIENTOS!$E:$E,"Anual",MOVIMIENTOS!$J:$J,$C51,MOVIMIENTOS!$B:$B,"&gt;="&amp;DATE(2026,8,1),MOVIMIENTOS!$B:$B,"&lt;"&amp;DATE(2026,9,1)))</f>
        <v/>
      </c>
      <c r="K51" s="5" t="str">
        <f aca="false">IF($C51="","",SUMIFS(MOVIMIENTOS!$I:$I,MOVIMIENTOS!$D:$D,"Aporte",MOVIMIENTOS!$E:$E,"Anual",MOVIMIENTOS!$J:$J,$C51,MOVIMIENTOS!$B:$B,"&gt;="&amp;DATE(2026,9,1),MOVIMIENTOS!$B:$B,"&lt;"&amp;DATE(2026,10,1)))</f>
        <v/>
      </c>
      <c r="L51" s="5" t="str">
        <f aca="false">IF($C51="","",SUMIFS(MOVIMIENTOS!$I:$I,MOVIMIENTOS!$D:$D,"Aporte",MOVIMIENTOS!$E:$E,"Anual",MOVIMIENTOS!$J:$J,$C51,MOVIMIENTOS!$B:$B,"&gt;="&amp;DATE(2026,10,1),MOVIMIENTOS!$B:$B,"&lt;"&amp;DATE(2026,11,1)))</f>
        <v/>
      </c>
      <c r="M51" s="5" t="str">
        <f aca="false">IF($C51="","",SUMIFS(MOVIMIENTOS!$I:$I,MOVIMIENTOS!$D:$D,"Aporte",MOVIMIENTOS!$E:$E,"Anual",MOVIMIENTOS!$J:$J,$C51,MOVIMIENTOS!$B:$B,"&gt;="&amp;DATE(2026,11,1),MOVIMIENTOS!$B:$B,"&lt;"&amp;DATE(2026,12,1)))</f>
        <v/>
      </c>
      <c r="N51" s="5" t="str">
        <f aca="false">IF($C51="","",SUMIFS(MOVIMIENTOS!$I:$I,MOVIMIENTOS!$D:$D,"Aporte",MOVIMIENTOS!$E:$E,"Anual",MOVIMIENTOS!$J:$J,$C51,MOVIMIENTOS!$B:$B,"&gt;="&amp;DATE(2026,12,1),MOVIMIENTOS!$B:$B,"&lt;"&amp;DATE(2026,13,1)))</f>
        <v/>
      </c>
      <c r="O51" s="5" t="str">
        <f aca="false">IF($C51="","",SUM(E51:N51))</f>
        <v/>
      </c>
      <c r="P51" s="5" t="str">
        <f aca="false">IF($C51="","",SUMIFS(MOVIMIENTOS!$I:$I,MOVIMIENTOS!$D:$D,"Aporte",MOVIMIENTOS!$E:$E,"Extraordinaria",MOVIMIENTOS!$F:$F,P$4,MOVIMIENTOS!$J:$J,$C51))</f>
        <v/>
      </c>
      <c r="Q51" s="5" t="str">
        <f aca="false">IF($C51="","",SUMIFS(MOVIMIENTOS!$I:$I,MOVIMIENTOS!$D:$D,"Aporte",MOVIMIENTOS!$E:$E,"Extraordinaria",MOVIMIENTOS!$F:$F,Q$4,MOVIMIENTOS!$J:$J,$C51))</f>
        <v/>
      </c>
      <c r="R51" s="5" t="str">
        <f aca="false">IF($C51="","",SUMIFS(MOVIMIENTOS!$I:$I,MOVIMIENTOS!$D:$D,"Aporte",MOVIMIENTOS!$E:$E,"Extraordinaria",MOVIMIENTOS!$F:$F,R$4,MOVIMIENTOS!$J:$J,$C51))</f>
        <v/>
      </c>
      <c r="S51" s="5" t="str">
        <f aca="false">IF($C51="","",SUMIFS(MOVIMIENTOS!$I:$I,MOVIMIENTOS!$D:$D,"Aporte",MOVIMIENTOS!$E:$E,"Extraordinaria",MOVIMIENTOS!$F:$F,S$4,MOVIMIENTOS!$J:$J,$C51))</f>
        <v/>
      </c>
      <c r="T51" s="5" t="str">
        <f aca="false">IF($C51="","",SUMIFS(MOVIMIENTOS!$I:$I,MOVIMIENTOS!$D:$D,"Aporte",MOVIMIENTOS!$E:$E,"Extraordinaria",MOVIMIENTOS!$F:$F,T$4,MOVIMIENTOS!$J:$J,$C51))</f>
        <v/>
      </c>
      <c r="U51" s="5" t="str">
        <f aca="false">IF($C51="","",SUMIFS(MOVIMIENTOS!$I:$I,MOVIMIENTOS!$D:$D,"Aporte",MOVIMIENTOS!$E:$E,"Extraordinaria",MOVIMIENTOS!$F:$F,U$4,MOVIMIENTOS!$J:$J,$C51))</f>
        <v/>
      </c>
      <c r="V51" s="5" t="str">
        <f aca="false">IF($C51="","",SUMIFS(MOVIMIENTOS!$I:$I,MOVIMIENTOS!$D:$D,"Aporte",MOVIMIENTOS!$E:$E,"Extraordinaria",MOVIMIENTOS!$F:$F,V$4,MOVIMIENTOS!$J:$J,$C51))</f>
        <v/>
      </c>
      <c r="W51" s="5" t="str">
        <f aca="false">IF($C51="","",SUM(P51:V51))</f>
        <v/>
      </c>
      <c r="X51" s="5" t="str">
        <f aca="false">IF($C51="","",O51+W51)</f>
        <v/>
      </c>
      <c r="Y51" s="12"/>
    </row>
    <row r="52" customFormat="false" ht="15" hidden="false" customHeight="false" outlineLevel="0" collapsed="false">
      <c r="A52" s="12"/>
      <c r="B52" s="12"/>
      <c r="C52" s="12"/>
      <c r="D52" s="12"/>
      <c r="E52" s="5" t="str">
        <f aca="false">IF($C52="","",SUMIFS(MOVIMIENTOS!$I:$I,MOVIMIENTOS!$D:$D,"Aporte",MOVIMIENTOS!$E:$E,"Anual",MOVIMIENTOS!$J:$J,$C52,MOVIMIENTOS!$B:$B,"&gt;="&amp;DATE(2026,3,1),MOVIMIENTOS!$B:$B,"&lt;"&amp;DATE(2026,4,1)))</f>
        <v/>
      </c>
      <c r="F52" s="5" t="str">
        <f aca="false">IF($C52="","",SUMIFS(MOVIMIENTOS!$I:$I,MOVIMIENTOS!$D:$D,"Aporte",MOVIMIENTOS!$E:$E,"Anual",MOVIMIENTOS!$J:$J,$C52,MOVIMIENTOS!$B:$B,"&gt;="&amp;DATE(2026,4,1),MOVIMIENTOS!$B:$B,"&lt;"&amp;DATE(2026,5,1)))</f>
        <v/>
      </c>
      <c r="G52" s="5" t="str">
        <f aca="false">IF($C52="","",SUMIFS(MOVIMIENTOS!$I:$I,MOVIMIENTOS!$D:$D,"Aporte",MOVIMIENTOS!$E:$E,"Anual",MOVIMIENTOS!$J:$J,$C52,MOVIMIENTOS!$B:$B,"&gt;="&amp;DATE(2026,5,1),MOVIMIENTOS!$B:$B,"&lt;"&amp;DATE(2026,6,1)))</f>
        <v/>
      </c>
      <c r="H52" s="5" t="str">
        <f aca="false">IF($C52="","",SUMIFS(MOVIMIENTOS!$I:$I,MOVIMIENTOS!$D:$D,"Aporte",MOVIMIENTOS!$E:$E,"Anual",MOVIMIENTOS!$J:$J,$C52,MOVIMIENTOS!$B:$B,"&gt;="&amp;DATE(2026,6,1),MOVIMIENTOS!$B:$B,"&lt;"&amp;DATE(2026,7,1)))</f>
        <v/>
      </c>
      <c r="I52" s="5" t="str">
        <f aca="false">IF($C52="","",SUMIFS(MOVIMIENTOS!$I:$I,MOVIMIENTOS!$D:$D,"Aporte",MOVIMIENTOS!$E:$E,"Anual",MOVIMIENTOS!$J:$J,$C52,MOVIMIENTOS!$B:$B,"&gt;="&amp;DATE(2026,7,1),MOVIMIENTOS!$B:$B,"&lt;"&amp;DATE(2026,8,1)))</f>
        <v/>
      </c>
      <c r="J52" s="5" t="str">
        <f aca="false">IF($C52="","",SUMIFS(MOVIMIENTOS!$I:$I,MOVIMIENTOS!$D:$D,"Aporte",MOVIMIENTOS!$E:$E,"Anual",MOVIMIENTOS!$J:$J,$C52,MOVIMIENTOS!$B:$B,"&gt;="&amp;DATE(2026,8,1),MOVIMIENTOS!$B:$B,"&lt;"&amp;DATE(2026,9,1)))</f>
        <v/>
      </c>
      <c r="K52" s="5" t="str">
        <f aca="false">IF($C52="","",SUMIFS(MOVIMIENTOS!$I:$I,MOVIMIENTOS!$D:$D,"Aporte",MOVIMIENTOS!$E:$E,"Anual",MOVIMIENTOS!$J:$J,$C52,MOVIMIENTOS!$B:$B,"&gt;="&amp;DATE(2026,9,1),MOVIMIENTOS!$B:$B,"&lt;"&amp;DATE(2026,10,1)))</f>
        <v/>
      </c>
      <c r="L52" s="5" t="str">
        <f aca="false">IF($C52="","",SUMIFS(MOVIMIENTOS!$I:$I,MOVIMIENTOS!$D:$D,"Aporte",MOVIMIENTOS!$E:$E,"Anual",MOVIMIENTOS!$J:$J,$C52,MOVIMIENTOS!$B:$B,"&gt;="&amp;DATE(2026,10,1),MOVIMIENTOS!$B:$B,"&lt;"&amp;DATE(2026,11,1)))</f>
        <v/>
      </c>
      <c r="M52" s="5" t="str">
        <f aca="false">IF($C52="","",SUMIFS(MOVIMIENTOS!$I:$I,MOVIMIENTOS!$D:$D,"Aporte",MOVIMIENTOS!$E:$E,"Anual",MOVIMIENTOS!$J:$J,$C52,MOVIMIENTOS!$B:$B,"&gt;="&amp;DATE(2026,11,1),MOVIMIENTOS!$B:$B,"&lt;"&amp;DATE(2026,12,1)))</f>
        <v/>
      </c>
      <c r="N52" s="5" t="str">
        <f aca="false">IF($C52="","",SUMIFS(MOVIMIENTOS!$I:$I,MOVIMIENTOS!$D:$D,"Aporte",MOVIMIENTOS!$E:$E,"Anual",MOVIMIENTOS!$J:$J,$C52,MOVIMIENTOS!$B:$B,"&gt;="&amp;DATE(2026,12,1),MOVIMIENTOS!$B:$B,"&lt;"&amp;DATE(2026,13,1)))</f>
        <v/>
      </c>
      <c r="O52" s="5" t="str">
        <f aca="false">IF($C52="","",SUM(E52:N52))</f>
        <v/>
      </c>
      <c r="P52" s="5" t="str">
        <f aca="false">IF($C52="","",SUMIFS(MOVIMIENTOS!$I:$I,MOVIMIENTOS!$D:$D,"Aporte",MOVIMIENTOS!$E:$E,"Extraordinaria",MOVIMIENTOS!$F:$F,P$4,MOVIMIENTOS!$J:$J,$C52))</f>
        <v/>
      </c>
      <c r="Q52" s="5" t="str">
        <f aca="false">IF($C52="","",SUMIFS(MOVIMIENTOS!$I:$I,MOVIMIENTOS!$D:$D,"Aporte",MOVIMIENTOS!$E:$E,"Extraordinaria",MOVIMIENTOS!$F:$F,Q$4,MOVIMIENTOS!$J:$J,$C52))</f>
        <v/>
      </c>
      <c r="R52" s="5" t="str">
        <f aca="false">IF($C52="","",SUMIFS(MOVIMIENTOS!$I:$I,MOVIMIENTOS!$D:$D,"Aporte",MOVIMIENTOS!$E:$E,"Extraordinaria",MOVIMIENTOS!$F:$F,R$4,MOVIMIENTOS!$J:$J,$C52))</f>
        <v/>
      </c>
      <c r="S52" s="5" t="str">
        <f aca="false">IF($C52="","",SUMIFS(MOVIMIENTOS!$I:$I,MOVIMIENTOS!$D:$D,"Aporte",MOVIMIENTOS!$E:$E,"Extraordinaria",MOVIMIENTOS!$F:$F,S$4,MOVIMIENTOS!$J:$J,$C52))</f>
        <v/>
      </c>
      <c r="T52" s="5" t="str">
        <f aca="false">IF($C52="","",SUMIFS(MOVIMIENTOS!$I:$I,MOVIMIENTOS!$D:$D,"Aporte",MOVIMIENTOS!$E:$E,"Extraordinaria",MOVIMIENTOS!$F:$F,T$4,MOVIMIENTOS!$J:$J,$C52))</f>
        <v/>
      </c>
      <c r="U52" s="5" t="str">
        <f aca="false">IF($C52="","",SUMIFS(MOVIMIENTOS!$I:$I,MOVIMIENTOS!$D:$D,"Aporte",MOVIMIENTOS!$E:$E,"Extraordinaria",MOVIMIENTOS!$F:$F,U$4,MOVIMIENTOS!$J:$J,$C52))</f>
        <v/>
      </c>
      <c r="V52" s="5" t="str">
        <f aca="false">IF($C52="","",SUMIFS(MOVIMIENTOS!$I:$I,MOVIMIENTOS!$D:$D,"Aporte",MOVIMIENTOS!$E:$E,"Extraordinaria",MOVIMIENTOS!$F:$F,V$4,MOVIMIENTOS!$J:$J,$C52))</f>
        <v/>
      </c>
      <c r="W52" s="5" t="str">
        <f aca="false">IF($C52="","",SUM(P52:V52))</f>
        <v/>
      </c>
      <c r="X52" s="5" t="str">
        <f aca="false">IF($C52="","",O52+W52)</f>
        <v/>
      </c>
      <c r="Y52" s="12"/>
    </row>
    <row r="53" customFormat="false" ht="15" hidden="false" customHeight="false" outlineLevel="0" collapsed="false">
      <c r="A53" s="12"/>
      <c r="B53" s="12"/>
      <c r="C53" s="12"/>
      <c r="D53" s="12"/>
      <c r="E53" s="5" t="str">
        <f aca="false">IF($C53="","",SUMIFS(MOVIMIENTOS!$I:$I,MOVIMIENTOS!$D:$D,"Aporte",MOVIMIENTOS!$E:$E,"Anual",MOVIMIENTOS!$J:$J,$C53,MOVIMIENTOS!$B:$B,"&gt;="&amp;DATE(2026,3,1),MOVIMIENTOS!$B:$B,"&lt;"&amp;DATE(2026,4,1)))</f>
        <v/>
      </c>
      <c r="F53" s="5" t="str">
        <f aca="false">IF($C53="","",SUMIFS(MOVIMIENTOS!$I:$I,MOVIMIENTOS!$D:$D,"Aporte",MOVIMIENTOS!$E:$E,"Anual",MOVIMIENTOS!$J:$J,$C53,MOVIMIENTOS!$B:$B,"&gt;="&amp;DATE(2026,4,1),MOVIMIENTOS!$B:$B,"&lt;"&amp;DATE(2026,5,1)))</f>
        <v/>
      </c>
      <c r="G53" s="5" t="str">
        <f aca="false">IF($C53="","",SUMIFS(MOVIMIENTOS!$I:$I,MOVIMIENTOS!$D:$D,"Aporte",MOVIMIENTOS!$E:$E,"Anual",MOVIMIENTOS!$J:$J,$C53,MOVIMIENTOS!$B:$B,"&gt;="&amp;DATE(2026,5,1),MOVIMIENTOS!$B:$B,"&lt;"&amp;DATE(2026,6,1)))</f>
        <v/>
      </c>
      <c r="H53" s="5" t="str">
        <f aca="false">IF($C53="","",SUMIFS(MOVIMIENTOS!$I:$I,MOVIMIENTOS!$D:$D,"Aporte",MOVIMIENTOS!$E:$E,"Anual",MOVIMIENTOS!$J:$J,$C53,MOVIMIENTOS!$B:$B,"&gt;="&amp;DATE(2026,6,1),MOVIMIENTOS!$B:$B,"&lt;"&amp;DATE(2026,7,1)))</f>
        <v/>
      </c>
      <c r="I53" s="5" t="str">
        <f aca="false">IF($C53="","",SUMIFS(MOVIMIENTOS!$I:$I,MOVIMIENTOS!$D:$D,"Aporte",MOVIMIENTOS!$E:$E,"Anual",MOVIMIENTOS!$J:$J,$C53,MOVIMIENTOS!$B:$B,"&gt;="&amp;DATE(2026,7,1),MOVIMIENTOS!$B:$B,"&lt;"&amp;DATE(2026,8,1)))</f>
        <v/>
      </c>
      <c r="J53" s="5" t="str">
        <f aca="false">IF($C53="","",SUMIFS(MOVIMIENTOS!$I:$I,MOVIMIENTOS!$D:$D,"Aporte",MOVIMIENTOS!$E:$E,"Anual",MOVIMIENTOS!$J:$J,$C53,MOVIMIENTOS!$B:$B,"&gt;="&amp;DATE(2026,8,1),MOVIMIENTOS!$B:$B,"&lt;"&amp;DATE(2026,9,1)))</f>
        <v/>
      </c>
      <c r="K53" s="5" t="str">
        <f aca="false">IF($C53="","",SUMIFS(MOVIMIENTOS!$I:$I,MOVIMIENTOS!$D:$D,"Aporte",MOVIMIENTOS!$E:$E,"Anual",MOVIMIENTOS!$J:$J,$C53,MOVIMIENTOS!$B:$B,"&gt;="&amp;DATE(2026,9,1),MOVIMIENTOS!$B:$B,"&lt;"&amp;DATE(2026,10,1)))</f>
        <v/>
      </c>
      <c r="L53" s="5" t="str">
        <f aca="false">IF($C53="","",SUMIFS(MOVIMIENTOS!$I:$I,MOVIMIENTOS!$D:$D,"Aporte",MOVIMIENTOS!$E:$E,"Anual",MOVIMIENTOS!$J:$J,$C53,MOVIMIENTOS!$B:$B,"&gt;="&amp;DATE(2026,10,1),MOVIMIENTOS!$B:$B,"&lt;"&amp;DATE(2026,11,1)))</f>
        <v/>
      </c>
      <c r="M53" s="5" t="str">
        <f aca="false">IF($C53="","",SUMIFS(MOVIMIENTOS!$I:$I,MOVIMIENTOS!$D:$D,"Aporte",MOVIMIENTOS!$E:$E,"Anual",MOVIMIENTOS!$J:$J,$C53,MOVIMIENTOS!$B:$B,"&gt;="&amp;DATE(2026,11,1),MOVIMIENTOS!$B:$B,"&lt;"&amp;DATE(2026,12,1)))</f>
        <v/>
      </c>
      <c r="N53" s="5" t="str">
        <f aca="false">IF($C53="","",SUMIFS(MOVIMIENTOS!$I:$I,MOVIMIENTOS!$D:$D,"Aporte",MOVIMIENTOS!$E:$E,"Anual",MOVIMIENTOS!$J:$J,$C53,MOVIMIENTOS!$B:$B,"&gt;="&amp;DATE(2026,12,1),MOVIMIENTOS!$B:$B,"&lt;"&amp;DATE(2026,13,1)))</f>
        <v/>
      </c>
      <c r="O53" s="5" t="str">
        <f aca="false">IF($C53="","",SUM(E53:N53))</f>
        <v/>
      </c>
      <c r="P53" s="5" t="str">
        <f aca="false">IF($C53="","",SUMIFS(MOVIMIENTOS!$I:$I,MOVIMIENTOS!$D:$D,"Aporte",MOVIMIENTOS!$E:$E,"Extraordinaria",MOVIMIENTOS!$F:$F,P$4,MOVIMIENTOS!$J:$J,$C53))</f>
        <v/>
      </c>
      <c r="Q53" s="5" t="str">
        <f aca="false">IF($C53="","",SUMIFS(MOVIMIENTOS!$I:$I,MOVIMIENTOS!$D:$D,"Aporte",MOVIMIENTOS!$E:$E,"Extraordinaria",MOVIMIENTOS!$F:$F,Q$4,MOVIMIENTOS!$J:$J,$C53))</f>
        <v/>
      </c>
      <c r="R53" s="5" t="str">
        <f aca="false">IF($C53="","",SUMIFS(MOVIMIENTOS!$I:$I,MOVIMIENTOS!$D:$D,"Aporte",MOVIMIENTOS!$E:$E,"Extraordinaria",MOVIMIENTOS!$F:$F,R$4,MOVIMIENTOS!$J:$J,$C53))</f>
        <v/>
      </c>
      <c r="S53" s="5" t="str">
        <f aca="false">IF($C53="","",SUMIFS(MOVIMIENTOS!$I:$I,MOVIMIENTOS!$D:$D,"Aporte",MOVIMIENTOS!$E:$E,"Extraordinaria",MOVIMIENTOS!$F:$F,S$4,MOVIMIENTOS!$J:$J,$C53))</f>
        <v/>
      </c>
      <c r="T53" s="5" t="str">
        <f aca="false">IF($C53="","",SUMIFS(MOVIMIENTOS!$I:$I,MOVIMIENTOS!$D:$D,"Aporte",MOVIMIENTOS!$E:$E,"Extraordinaria",MOVIMIENTOS!$F:$F,T$4,MOVIMIENTOS!$J:$J,$C53))</f>
        <v/>
      </c>
      <c r="U53" s="5" t="str">
        <f aca="false">IF($C53="","",SUMIFS(MOVIMIENTOS!$I:$I,MOVIMIENTOS!$D:$D,"Aporte",MOVIMIENTOS!$E:$E,"Extraordinaria",MOVIMIENTOS!$F:$F,U$4,MOVIMIENTOS!$J:$J,$C53))</f>
        <v/>
      </c>
      <c r="V53" s="5" t="str">
        <f aca="false">IF($C53="","",SUMIFS(MOVIMIENTOS!$I:$I,MOVIMIENTOS!$D:$D,"Aporte",MOVIMIENTOS!$E:$E,"Extraordinaria",MOVIMIENTOS!$F:$F,V$4,MOVIMIENTOS!$J:$J,$C53))</f>
        <v/>
      </c>
      <c r="W53" s="5" t="str">
        <f aca="false">IF($C53="","",SUM(P53:V53))</f>
        <v/>
      </c>
      <c r="X53" s="5" t="str">
        <f aca="false">IF($C53="","",O53+W53)</f>
        <v/>
      </c>
      <c r="Y53" s="12"/>
    </row>
    <row r="54" customFormat="false" ht="15" hidden="false" customHeight="false" outlineLevel="0" collapsed="false">
      <c r="A54" s="12"/>
      <c r="B54" s="12"/>
      <c r="C54" s="12"/>
      <c r="D54" s="12"/>
      <c r="E54" s="5" t="str">
        <f aca="false">IF($C54="","",SUMIFS(MOVIMIENTOS!$I:$I,MOVIMIENTOS!$D:$D,"Aporte",MOVIMIENTOS!$E:$E,"Anual",MOVIMIENTOS!$J:$J,$C54,MOVIMIENTOS!$B:$B,"&gt;="&amp;DATE(2026,3,1),MOVIMIENTOS!$B:$B,"&lt;"&amp;DATE(2026,4,1)))</f>
        <v/>
      </c>
      <c r="F54" s="5" t="str">
        <f aca="false">IF($C54="","",SUMIFS(MOVIMIENTOS!$I:$I,MOVIMIENTOS!$D:$D,"Aporte",MOVIMIENTOS!$E:$E,"Anual",MOVIMIENTOS!$J:$J,$C54,MOVIMIENTOS!$B:$B,"&gt;="&amp;DATE(2026,4,1),MOVIMIENTOS!$B:$B,"&lt;"&amp;DATE(2026,5,1)))</f>
        <v/>
      </c>
      <c r="G54" s="5" t="str">
        <f aca="false">IF($C54="","",SUMIFS(MOVIMIENTOS!$I:$I,MOVIMIENTOS!$D:$D,"Aporte",MOVIMIENTOS!$E:$E,"Anual",MOVIMIENTOS!$J:$J,$C54,MOVIMIENTOS!$B:$B,"&gt;="&amp;DATE(2026,5,1),MOVIMIENTOS!$B:$B,"&lt;"&amp;DATE(2026,6,1)))</f>
        <v/>
      </c>
      <c r="H54" s="5" t="str">
        <f aca="false">IF($C54="","",SUMIFS(MOVIMIENTOS!$I:$I,MOVIMIENTOS!$D:$D,"Aporte",MOVIMIENTOS!$E:$E,"Anual",MOVIMIENTOS!$J:$J,$C54,MOVIMIENTOS!$B:$B,"&gt;="&amp;DATE(2026,6,1),MOVIMIENTOS!$B:$B,"&lt;"&amp;DATE(2026,7,1)))</f>
        <v/>
      </c>
      <c r="I54" s="5" t="str">
        <f aca="false">IF($C54="","",SUMIFS(MOVIMIENTOS!$I:$I,MOVIMIENTOS!$D:$D,"Aporte",MOVIMIENTOS!$E:$E,"Anual",MOVIMIENTOS!$J:$J,$C54,MOVIMIENTOS!$B:$B,"&gt;="&amp;DATE(2026,7,1),MOVIMIENTOS!$B:$B,"&lt;"&amp;DATE(2026,8,1)))</f>
        <v/>
      </c>
      <c r="J54" s="5" t="str">
        <f aca="false">IF($C54="","",SUMIFS(MOVIMIENTOS!$I:$I,MOVIMIENTOS!$D:$D,"Aporte",MOVIMIENTOS!$E:$E,"Anual",MOVIMIENTOS!$J:$J,$C54,MOVIMIENTOS!$B:$B,"&gt;="&amp;DATE(2026,8,1),MOVIMIENTOS!$B:$B,"&lt;"&amp;DATE(2026,9,1)))</f>
        <v/>
      </c>
      <c r="K54" s="5" t="str">
        <f aca="false">IF($C54="","",SUMIFS(MOVIMIENTOS!$I:$I,MOVIMIENTOS!$D:$D,"Aporte",MOVIMIENTOS!$E:$E,"Anual",MOVIMIENTOS!$J:$J,$C54,MOVIMIENTOS!$B:$B,"&gt;="&amp;DATE(2026,9,1),MOVIMIENTOS!$B:$B,"&lt;"&amp;DATE(2026,10,1)))</f>
        <v/>
      </c>
      <c r="L54" s="5" t="str">
        <f aca="false">IF($C54="","",SUMIFS(MOVIMIENTOS!$I:$I,MOVIMIENTOS!$D:$D,"Aporte",MOVIMIENTOS!$E:$E,"Anual",MOVIMIENTOS!$J:$J,$C54,MOVIMIENTOS!$B:$B,"&gt;="&amp;DATE(2026,10,1),MOVIMIENTOS!$B:$B,"&lt;"&amp;DATE(2026,11,1)))</f>
        <v/>
      </c>
      <c r="M54" s="5" t="str">
        <f aca="false">IF($C54="","",SUMIFS(MOVIMIENTOS!$I:$I,MOVIMIENTOS!$D:$D,"Aporte",MOVIMIENTOS!$E:$E,"Anual",MOVIMIENTOS!$J:$J,$C54,MOVIMIENTOS!$B:$B,"&gt;="&amp;DATE(2026,11,1),MOVIMIENTOS!$B:$B,"&lt;"&amp;DATE(2026,12,1)))</f>
        <v/>
      </c>
      <c r="N54" s="5" t="str">
        <f aca="false">IF($C54="","",SUMIFS(MOVIMIENTOS!$I:$I,MOVIMIENTOS!$D:$D,"Aporte",MOVIMIENTOS!$E:$E,"Anual",MOVIMIENTOS!$J:$J,$C54,MOVIMIENTOS!$B:$B,"&gt;="&amp;DATE(2026,12,1),MOVIMIENTOS!$B:$B,"&lt;"&amp;DATE(2026,13,1)))</f>
        <v/>
      </c>
      <c r="O54" s="5" t="str">
        <f aca="false">IF($C54="","",SUM(E54:N54))</f>
        <v/>
      </c>
      <c r="P54" s="5" t="str">
        <f aca="false">IF($C54="","",SUMIFS(MOVIMIENTOS!$I:$I,MOVIMIENTOS!$D:$D,"Aporte",MOVIMIENTOS!$E:$E,"Extraordinaria",MOVIMIENTOS!$F:$F,P$4,MOVIMIENTOS!$J:$J,$C54))</f>
        <v/>
      </c>
      <c r="Q54" s="5" t="str">
        <f aca="false">IF($C54="","",SUMIFS(MOVIMIENTOS!$I:$I,MOVIMIENTOS!$D:$D,"Aporte",MOVIMIENTOS!$E:$E,"Extraordinaria",MOVIMIENTOS!$F:$F,Q$4,MOVIMIENTOS!$J:$J,$C54))</f>
        <v/>
      </c>
      <c r="R54" s="5" t="str">
        <f aca="false">IF($C54="","",SUMIFS(MOVIMIENTOS!$I:$I,MOVIMIENTOS!$D:$D,"Aporte",MOVIMIENTOS!$E:$E,"Extraordinaria",MOVIMIENTOS!$F:$F,R$4,MOVIMIENTOS!$J:$J,$C54))</f>
        <v/>
      </c>
      <c r="S54" s="5" t="str">
        <f aca="false">IF($C54="","",SUMIFS(MOVIMIENTOS!$I:$I,MOVIMIENTOS!$D:$D,"Aporte",MOVIMIENTOS!$E:$E,"Extraordinaria",MOVIMIENTOS!$F:$F,S$4,MOVIMIENTOS!$J:$J,$C54))</f>
        <v/>
      </c>
      <c r="T54" s="5" t="str">
        <f aca="false">IF($C54="","",SUMIFS(MOVIMIENTOS!$I:$I,MOVIMIENTOS!$D:$D,"Aporte",MOVIMIENTOS!$E:$E,"Extraordinaria",MOVIMIENTOS!$F:$F,T$4,MOVIMIENTOS!$J:$J,$C54))</f>
        <v/>
      </c>
      <c r="U54" s="5" t="str">
        <f aca="false">IF($C54="","",SUMIFS(MOVIMIENTOS!$I:$I,MOVIMIENTOS!$D:$D,"Aporte",MOVIMIENTOS!$E:$E,"Extraordinaria",MOVIMIENTOS!$F:$F,U$4,MOVIMIENTOS!$J:$J,$C54))</f>
        <v/>
      </c>
      <c r="V54" s="5" t="str">
        <f aca="false">IF($C54="","",SUMIFS(MOVIMIENTOS!$I:$I,MOVIMIENTOS!$D:$D,"Aporte",MOVIMIENTOS!$E:$E,"Extraordinaria",MOVIMIENTOS!$F:$F,V$4,MOVIMIENTOS!$J:$J,$C54))</f>
        <v/>
      </c>
      <c r="W54" s="5" t="str">
        <f aca="false">IF($C54="","",SUM(P54:V54))</f>
        <v/>
      </c>
      <c r="X54" s="5" t="str">
        <f aca="false">IF($C54="","",O54+W54)</f>
        <v/>
      </c>
      <c r="Y54" s="12"/>
    </row>
    <row r="55" customFormat="false" ht="15" hidden="false" customHeight="false" outlineLevel="0" collapsed="false">
      <c r="A55" s="12"/>
      <c r="B55" s="12"/>
      <c r="C55" s="12"/>
      <c r="D55" s="12"/>
      <c r="E55" s="5" t="str">
        <f aca="false">IF($C55="","",SUMIFS(MOVIMIENTOS!$I:$I,MOVIMIENTOS!$D:$D,"Aporte",MOVIMIENTOS!$E:$E,"Anual",MOVIMIENTOS!$J:$J,$C55,MOVIMIENTOS!$B:$B,"&gt;="&amp;DATE(2026,3,1),MOVIMIENTOS!$B:$B,"&lt;"&amp;DATE(2026,4,1)))</f>
        <v/>
      </c>
      <c r="F55" s="5" t="str">
        <f aca="false">IF($C55="","",SUMIFS(MOVIMIENTOS!$I:$I,MOVIMIENTOS!$D:$D,"Aporte",MOVIMIENTOS!$E:$E,"Anual",MOVIMIENTOS!$J:$J,$C55,MOVIMIENTOS!$B:$B,"&gt;="&amp;DATE(2026,4,1),MOVIMIENTOS!$B:$B,"&lt;"&amp;DATE(2026,5,1)))</f>
        <v/>
      </c>
      <c r="G55" s="5" t="str">
        <f aca="false">IF($C55="","",SUMIFS(MOVIMIENTOS!$I:$I,MOVIMIENTOS!$D:$D,"Aporte",MOVIMIENTOS!$E:$E,"Anual",MOVIMIENTOS!$J:$J,$C55,MOVIMIENTOS!$B:$B,"&gt;="&amp;DATE(2026,5,1),MOVIMIENTOS!$B:$B,"&lt;"&amp;DATE(2026,6,1)))</f>
        <v/>
      </c>
      <c r="H55" s="5" t="str">
        <f aca="false">IF($C55="","",SUMIFS(MOVIMIENTOS!$I:$I,MOVIMIENTOS!$D:$D,"Aporte",MOVIMIENTOS!$E:$E,"Anual",MOVIMIENTOS!$J:$J,$C55,MOVIMIENTOS!$B:$B,"&gt;="&amp;DATE(2026,6,1),MOVIMIENTOS!$B:$B,"&lt;"&amp;DATE(2026,7,1)))</f>
        <v/>
      </c>
      <c r="I55" s="5" t="str">
        <f aca="false">IF($C55="","",SUMIFS(MOVIMIENTOS!$I:$I,MOVIMIENTOS!$D:$D,"Aporte",MOVIMIENTOS!$E:$E,"Anual",MOVIMIENTOS!$J:$J,$C55,MOVIMIENTOS!$B:$B,"&gt;="&amp;DATE(2026,7,1),MOVIMIENTOS!$B:$B,"&lt;"&amp;DATE(2026,8,1)))</f>
        <v/>
      </c>
      <c r="J55" s="5" t="str">
        <f aca="false">IF($C55="","",SUMIFS(MOVIMIENTOS!$I:$I,MOVIMIENTOS!$D:$D,"Aporte",MOVIMIENTOS!$E:$E,"Anual",MOVIMIENTOS!$J:$J,$C55,MOVIMIENTOS!$B:$B,"&gt;="&amp;DATE(2026,8,1),MOVIMIENTOS!$B:$B,"&lt;"&amp;DATE(2026,9,1)))</f>
        <v/>
      </c>
      <c r="K55" s="5" t="str">
        <f aca="false">IF($C55="","",SUMIFS(MOVIMIENTOS!$I:$I,MOVIMIENTOS!$D:$D,"Aporte",MOVIMIENTOS!$E:$E,"Anual",MOVIMIENTOS!$J:$J,$C55,MOVIMIENTOS!$B:$B,"&gt;="&amp;DATE(2026,9,1),MOVIMIENTOS!$B:$B,"&lt;"&amp;DATE(2026,10,1)))</f>
        <v/>
      </c>
      <c r="L55" s="5" t="str">
        <f aca="false">IF($C55="","",SUMIFS(MOVIMIENTOS!$I:$I,MOVIMIENTOS!$D:$D,"Aporte",MOVIMIENTOS!$E:$E,"Anual",MOVIMIENTOS!$J:$J,$C55,MOVIMIENTOS!$B:$B,"&gt;="&amp;DATE(2026,10,1),MOVIMIENTOS!$B:$B,"&lt;"&amp;DATE(2026,11,1)))</f>
        <v/>
      </c>
      <c r="M55" s="5" t="str">
        <f aca="false">IF($C55="","",SUMIFS(MOVIMIENTOS!$I:$I,MOVIMIENTOS!$D:$D,"Aporte",MOVIMIENTOS!$E:$E,"Anual",MOVIMIENTOS!$J:$J,$C55,MOVIMIENTOS!$B:$B,"&gt;="&amp;DATE(2026,11,1),MOVIMIENTOS!$B:$B,"&lt;"&amp;DATE(2026,12,1)))</f>
        <v/>
      </c>
      <c r="N55" s="5" t="str">
        <f aca="false">IF($C55="","",SUMIFS(MOVIMIENTOS!$I:$I,MOVIMIENTOS!$D:$D,"Aporte",MOVIMIENTOS!$E:$E,"Anual",MOVIMIENTOS!$J:$J,$C55,MOVIMIENTOS!$B:$B,"&gt;="&amp;DATE(2026,12,1),MOVIMIENTOS!$B:$B,"&lt;"&amp;DATE(2026,13,1)))</f>
        <v/>
      </c>
      <c r="O55" s="5" t="str">
        <f aca="false">IF($C55="","",SUM(E55:N55))</f>
        <v/>
      </c>
      <c r="P55" s="5" t="str">
        <f aca="false">IF($C55="","",SUMIFS(MOVIMIENTOS!$I:$I,MOVIMIENTOS!$D:$D,"Aporte",MOVIMIENTOS!$E:$E,"Extraordinaria",MOVIMIENTOS!$F:$F,P$4,MOVIMIENTOS!$J:$J,$C55))</f>
        <v/>
      </c>
      <c r="Q55" s="5" t="str">
        <f aca="false">IF($C55="","",SUMIFS(MOVIMIENTOS!$I:$I,MOVIMIENTOS!$D:$D,"Aporte",MOVIMIENTOS!$E:$E,"Extraordinaria",MOVIMIENTOS!$F:$F,Q$4,MOVIMIENTOS!$J:$J,$C55))</f>
        <v/>
      </c>
      <c r="R55" s="5" t="str">
        <f aca="false">IF($C55="","",SUMIFS(MOVIMIENTOS!$I:$I,MOVIMIENTOS!$D:$D,"Aporte",MOVIMIENTOS!$E:$E,"Extraordinaria",MOVIMIENTOS!$F:$F,R$4,MOVIMIENTOS!$J:$J,$C55))</f>
        <v/>
      </c>
      <c r="S55" s="5" t="str">
        <f aca="false">IF($C55="","",SUMIFS(MOVIMIENTOS!$I:$I,MOVIMIENTOS!$D:$D,"Aporte",MOVIMIENTOS!$E:$E,"Extraordinaria",MOVIMIENTOS!$F:$F,S$4,MOVIMIENTOS!$J:$J,$C55))</f>
        <v/>
      </c>
      <c r="T55" s="5" t="str">
        <f aca="false">IF($C55="","",SUMIFS(MOVIMIENTOS!$I:$I,MOVIMIENTOS!$D:$D,"Aporte",MOVIMIENTOS!$E:$E,"Extraordinaria",MOVIMIENTOS!$F:$F,T$4,MOVIMIENTOS!$J:$J,$C55))</f>
        <v/>
      </c>
      <c r="U55" s="5" t="str">
        <f aca="false">IF($C55="","",SUMIFS(MOVIMIENTOS!$I:$I,MOVIMIENTOS!$D:$D,"Aporte",MOVIMIENTOS!$E:$E,"Extraordinaria",MOVIMIENTOS!$F:$F,U$4,MOVIMIENTOS!$J:$J,$C55))</f>
        <v/>
      </c>
      <c r="V55" s="5" t="str">
        <f aca="false">IF($C55="","",SUMIFS(MOVIMIENTOS!$I:$I,MOVIMIENTOS!$D:$D,"Aporte",MOVIMIENTOS!$E:$E,"Extraordinaria",MOVIMIENTOS!$F:$F,V$4,MOVIMIENTOS!$J:$J,$C55))</f>
        <v/>
      </c>
      <c r="W55" s="5" t="str">
        <f aca="false">IF($C55="","",SUM(P55:V55))</f>
        <v/>
      </c>
      <c r="X55" s="5" t="str">
        <f aca="false">IF($C55="","",O55+W55)</f>
        <v/>
      </c>
      <c r="Y55" s="12"/>
    </row>
    <row r="56" customFormat="false" ht="15" hidden="false" customHeight="false" outlineLevel="0" collapsed="false">
      <c r="A56" s="12"/>
      <c r="B56" s="12"/>
      <c r="C56" s="12"/>
      <c r="D56" s="12"/>
      <c r="E56" s="5" t="str">
        <f aca="false">IF($C56="","",SUMIFS(MOVIMIENTOS!$I:$I,MOVIMIENTOS!$D:$D,"Aporte",MOVIMIENTOS!$E:$E,"Anual",MOVIMIENTOS!$J:$J,$C56,MOVIMIENTOS!$B:$B,"&gt;="&amp;DATE(2026,3,1),MOVIMIENTOS!$B:$B,"&lt;"&amp;DATE(2026,4,1)))</f>
        <v/>
      </c>
      <c r="F56" s="5" t="str">
        <f aca="false">IF($C56="","",SUMIFS(MOVIMIENTOS!$I:$I,MOVIMIENTOS!$D:$D,"Aporte",MOVIMIENTOS!$E:$E,"Anual",MOVIMIENTOS!$J:$J,$C56,MOVIMIENTOS!$B:$B,"&gt;="&amp;DATE(2026,4,1),MOVIMIENTOS!$B:$B,"&lt;"&amp;DATE(2026,5,1)))</f>
        <v/>
      </c>
      <c r="G56" s="5" t="str">
        <f aca="false">IF($C56="","",SUMIFS(MOVIMIENTOS!$I:$I,MOVIMIENTOS!$D:$D,"Aporte",MOVIMIENTOS!$E:$E,"Anual",MOVIMIENTOS!$J:$J,$C56,MOVIMIENTOS!$B:$B,"&gt;="&amp;DATE(2026,5,1),MOVIMIENTOS!$B:$B,"&lt;"&amp;DATE(2026,6,1)))</f>
        <v/>
      </c>
      <c r="H56" s="5" t="str">
        <f aca="false">IF($C56="","",SUMIFS(MOVIMIENTOS!$I:$I,MOVIMIENTOS!$D:$D,"Aporte",MOVIMIENTOS!$E:$E,"Anual",MOVIMIENTOS!$J:$J,$C56,MOVIMIENTOS!$B:$B,"&gt;="&amp;DATE(2026,6,1),MOVIMIENTOS!$B:$B,"&lt;"&amp;DATE(2026,7,1)))</f>
        <v/>
      </c>
      <c r="I56" s="5" t="str">
        <f aca="false">IF($C56="","",SUMIFS(MOVIMIENTOS!$I:$I,MOVIMIENTOS!$D:$D,"Aporte",MOVIMIENTOS!$E:$E,"Anual",MOVIMIENTOS!$J:$J,$C56,MOVIMIENTOS!$B:$B,"&gt;="&amp;DATE(2026,7,1),MOVIMIENTOS!$B:$B,"&lt;"&amp;DATE(2026,8,1)))</f>
        <v/>
      </c>
      <c r="J56" s="5" t="str">
        <f aca="false">IF($C56="","",SUMIFS(MOVIMIENTOS!$I:$I,MOVIMIENTOS!$D:$D,"Aporte",MOVIMIENTOS!$E:$E,"Anual",MOVIMIENTOS!$J:$J,$C56,MOVIMIENTOS!$B:$B,"&gt;="&amp;DATE(2026,8,1),MOVIMIENTOS!$B:$B,"&lt;"&amp;DATE(2026,9,1)))</f>
        <v/>
      </c>
      <c r="K56" s="5" t="str">
        <f aca="false">IF($C56="","",SUMIFS(MOVIMIENTOS!$I:$I,MOVIMIENTOS!$D:$D,"Aporte",MOVIMIENTOS!$E:$E,"Anual",MOVIMIENTOS!$J:$J,$C56,MOVIMIENTOS!$B:$B,"&gt;="&amp;DATE(2026,9,1),MOVIMIENTOS!$B:$B,"&lt;"&amp;DATE(2026,10,1)))</f>
        <v/>
      </c>
      <c r="L56" s="5" t="str">
        <f aca="false">IF($C56="","",SUMIFS(MOVIMIENTOS!$I:$I,MOVIMIENTOS!$D:$D,"Aporte",MOVIMIENTOS!$E:$E,"Anual",MOVIMIENTOS!$J:$J,$C56,MOVIMIENTOS!$B:$B,"&gt;="&amp;DATE(2026,10,1),MOVIMIENTOS!$B:$B,"&lt;"&amp;DATE(2026,11,1)))</f>
        <v/>
      </c>
      <c r="M56" s="5" t="str">
        <f aca="false">IF($C56="","",SUMIFS(MOVIMIENTOS!$I:$I,MOVIMIENTOS!$D:$D,"Aporte",MOVIMIENTOS!$E:$E,"Anual",MOVIMIENTOS!$J:$J,$C56,MOVIMIENTOS!$B:$B,"&gt;="&amp;DATE(2026,11,1),MOVIMIENTOS!$B:$B,"&lt;"&amp;DATE(2026,12,1)))</f>
        <v/>
      </c>
      <c r="N56" s="5" t="str">
        <f aca="false">IF($C56="","",SUMIFS(MOVIMIENTOS!$I:$I,MOVIMIENTOS!$D:$D,"Aporte",MOVIMIENTOS!$E:$E,"Anual",MOVIMIENTOS!$J:$J,$C56,MOVIMIENTOS!$B:$B,"&gt;="&amp;DATE(2026,12,1),MOVIMIENTOS!$B:$B,"&lt;"&amp;DATE(2026,13,1)))</f>
        <v/>
      </c>
      <c r="O56" s="5" t="str">
        <f aca="false">IF($C56="","",SUM(E56:N56))</f>
        <v/>
      </c>
      <c r="P56" s="5" t="str">
        <f aca="false">IF($C56="","",SUMIFS(MOVIMIENTOS!$I:$I,MOVIMIENTOS!$D:$D,"Aporte",MOVIMIENTOS!$E:$E,"Extraordinaria",MOVIMIENTOS!$F:$F,P$4,MOVIMIENTOS!$J:$J,$C56))</f>
        <v/>
      </c>
      <c r="Q56" s="5" t="str">
        <f aca="false">IF($C56="","",SUMIFS(MOVIMIENTOS!$I:$I,MOVIMIENTOS!$D:$D,"Aporte",MOVIMIENTOS!$E:$E,"Extraordinaria",MOVIMIENTOS!$F:$F,Q$4,MOVIMIENTOS!$J:$J,$C56))</f>
        <v/>
      </c>
      <c r="R56" s="5" t="str">
        <f aca="false">IF($C56="","",SUMIFS(MOVIMIENTOS!$I:$I,MOVIMIENTOS!$D:$D,"Aporte",MOVIMIENTOS!$E:$E,"Extraordinaria",MOVIMIENTOS!$F:$F,R$4,MOVIMIENTOS!$J:$J,$C56))</f>
        <v/>
      </c>
      <c r="S56" s="5" t="str">
        <f aca="false">IF($C56="","",SUMIFS(MOVIMIENTOS!$I:$I,MOVIMIENTOS!$D:$D,"Aporte",MOVIMIENTOS!$E:$E,"Extraordinaria",MOVIMIENTOS!$F:$F,S$4,MOVIMIENTOS!$J:$J,$C56))</f>
        <v/>
      </c>
      <c r="T56" s="5" t="str">
        <f aca="false">IF($C56="","",SUMIFS(MOVIMIENTOS!$I:$I,MOVIMIENTOS!$D:$D,"Aporte",MOVIMIENTOS!$E:$E,"Extraordinaria",MOVIMIENTOS!$F:$F,T$4,MOVIMIENTOS!$J:$J,$C56))</f>
        <v/>
      </c>
      <c r="U56" s="5" t="str">
        <f aca="false">IF($C56="","",SUMIFS(MOVIMIENTOS!$I:$I,MOVIMIENTOS!$D:$D,"Aporte",MOVIMIENTOS!$E:$E,"Extraordinaria",MOVIMIENTOS!$F:$F,U$4,MOVIMIENTOS!$J:$J,$C56))</f>
        <v/>
      </c>
      <c r="V56" s="5" t="str">
        <f aca="false">IF($C56="","",SUMIFS(MOVIMIENTOS!$I:$I,MOVIMIENTOS!$D:$D,"Aporte",MOVIMIENTOS!$E:$E,"Extraordinaria",MOVIMIENTOS!$F:$F,V$4,MOVIMIENTOS!$J:$J,$C56))</f>
        <v/>
      </c>
      <c r="W56" s="5" t="str">
        <f aca="false">IF($C56="","",SUM(P56:V56))</f>
        <v/>
      </c>
      <c r="X56" s="5" t="str">
        <f aca="false">IF($C56="","",O56+W56)</f>
        <v/>
      </c>
      <c r="Y56" s="12"/>
    </row>
    <row r="57" customFormat="false" ht="15" hidden="false" customHeight="false" outlineLevel="0" collapsed="false">
      <c r="A57" s="12"/>
      <c r="B57" s="12"/>
      <c r="C57" s="12"/>
      <c r="D57" s="12"/>
      <c r="E57" s="5" t="str">
        <f aca="false">IF($C57="","",SUMIFS(MOVIMIENTOS!$I:$I,MOVIMIENTOS!$D:$D,"Aporte",MOVIMIENTOS!$E:$E,"Anual",MOVIMIENTOS!$J:$J,$C57,MOVIMIENTOS!$B:$B,"&gt;="&amp;DATE(2026,3,1),MOVIMIENTOS!$B:$B,"&lt;"&amp;DATE(2026,4,1)))</f>
        <v/>
      </c>
      <c r="F57" s="5" t="str">
        <f aca="false">IF($C57="","",SUMIFS(MOVIMIENTOS!$I:$I,MOVIMIENTOS!$D:$D,"Aporte",MOVIMIENTOS!$E:$E,"Anual",MOVIMIENTOS!$J:$J,$C57,MOVIMIENTOS!$B:$B,"&gt;="&amp;DATE(2026,4,1),MOVIMIENTOS!$B:$B,"&lt;"&amp;DATE(2026,5,1)))</f>
        <v/>
      </c>
      <c r="G57" s="5" t="str">
        <f aca="false">IF($C57="","",SUMIFS(MOVIMIENTOS!$I:$I,MOVIMIENTOS!$D:$D,"Aporte",MOVIMIENTOS!$E:$E,"Anual",MOVIMIENTOS!$J:$J,$C57,MOVIMIENTOS!$B:$B,"&gt;="&amp;DATE(2026,5,1),MOVIMIENTOS!$B:$B,"&lt;"&amp;DATE(2026,6,1)))</f>
        <v/>
      </c>
      <c r="H57" s="5" t="str">
        <f aca="false">IF($C57="","",SUMIFS(MOVIMIENTOS!$I:$I,MOVIMIENTOS!$D:$D,"Aporte",MOVIMIENTOS!$E:$E,"Anual",MOVIMIENTOS!$J:$J,$C57,MOVIMIENTOS!$B:$B,"&gt;="&amp;DATE(2026,6,1),MOVIMIENTOS!$B:$B,"&lt;"&amp;DATE(2026,7,1)))</f>
        <v/>
      </c>
      <c r="I57" s="5" t="str">
        <f aca="false">IF($C57="","",SUMIFS(MOVIMIENTOS!$I:$I,MOVIMIENTOS!$D:$D,"Aporte",MOVIMIENTOS!$E:$E,"Anual",MOVIMIENTOS!$J:$J,$C57,MOVIMIENTOS!$B:$B,"&gt;="&amp;DATE(2026,7,1),MOVIMIENTOS!$B:$B,"&lt;"&amp;DATE(2026,8,1)))</f>
        <v/>
      </c>
      <c r="J57" s="5" t="str">
        <f aca="false">IF($C57="","",SUMIFS(MOVIMIENTOS!$I:$I,MOVIMIENTOS!$D:$D,"Aporte",MOVIMIENTOS!$E:$E,"Anual",MOVIMIENTOS!$J:$J,$C57,MOVIMIENTOS!$B:$B,"&gt;="&amp;DATE(2026,8,1),MOVIMIENTOS!$B:$B,"&lt;"&amp;DATE(2026,9,1)))</f>
        <v/>
      </c>
      <c r="K57" s="5" t="str">
        <f aca="false">IF($C57="","",SUMIFS(MOVIMIENTOS!$I:$I,MOVIMIENTOS!$D:$D,"Aporte",MOVIMIENTOS!$E:$E,"Anual",MOVIMIENTOS!$J:$J,$C57,MOVIMIENTOS!$B:$B,"&gt;="&amp;DATE(2026,9,1),MOVIMIENTOS!$B:$B,"&lt;"&amp;DATE(2026,10,1)))</f>
        <v/>
      </c>
      <c r="L57" s="5" t="str">
        <f aca="false">IF($C57="","",SUMIFS(MOVIMIENTOS!$I:$I,MOVIMIENTOS!$D:$D,"Aporte",MOVIMIENTOS!$E:$E,"Anual",MOVIMIENTOS!$J:$J,$C57,MOVIMIENTOS!$B:$B,"&gt;="&amp;DATE(2026,10,1),MOVIMIENTOS!$B:$B,"&lt;"&amp;DATE(2026,11,1)))</f>
        <v/>
      </c>
      <c r="M57" s="5" t="str">
        <f aca="false">IF($C57="","",SUMIFS(MOVIMIENTOS!$I:$I,MOVIMIENTOS!$D:$D,"Aporte",MOVIMIENTOS!$E:$E,"Anual",MOVIMIENTOS!$J:$J,$C57,MOVIMIENTOS!$B:$B,"&gt;="&amp;DATE(2026,11,1),MOVIMIENTOS!$B:$B,"&lt;"&amp;DATE(2026,12,1)))</f>
        <v/>
      </c>
      <c r="N57" s="5" t="str">
        <f aca="false">IF($C57="","",SUMIFS(MOVIMIENTOS!$I:$I,MOVIMIENTOS!$D:$D,"Aporte",MOVIMIENTOS!$E:$E,"Anual",MOVIMIENTOS!$J:$J,$C57,MOVIMIENTOS!$B:$B,"&gt;="&amp;DATE(2026,12,1),MOVIMIENTOS!$B:$B,"&lt;"&amp;DATE(2026,13,1)))</f>
        <v/>
      </c>
      <c r="O57" s="5" t="str">
        <f aca="false">IF($C57="","",SUM(E57:N57))</f>
        <v/>
      </c>
      <c r="P57" s="5" t="str">
        <f aca="false">IF($C57="","",SUMIFS(MOVIMIENTOS!$I:$I,MOVIMIENTOS!$D:$D,"Aporte",MOVIMIENTOS!$E:$E,"Extraordinaria",MOVIMIENTOS!$F:$F,P$4,MOVIMIENTOS!$J:$J,$C57))</f>
        <v/>
      </c>
      <c r="Q57" s="5" t="str">
        <f aca="false">IF($C57="","",SUMIFS(MOVIMIENTOS!$I:$I,MOVIMIENTOS!$D:$D,"Aporte",MOVIMIENTOS!$E:$E,"Extraordinaria",MOVIMIENTOS!$F:$F,Q$4,MOVIMIENTOS!$J:$J,$C57))</f>
        <v/>
      </c>
      <c r="R57" s="5" t="str">
        <f aca="false">IF($C57="","",SUMIFS(MOVIMIENTOS!$I:$I,MOVIMIENTOS!$D:$D,"Aporte",MOVIMIENTOS!$E:$E,"Extraordinaria",MOVIMIENTOS!$F:$F,R$4,MOVIMIENTOS!$J:$J,$C57))</f>
        <v/>
      </c>
      <c r="S57" s="5" t="str">
        <f aca="false">IF($C57="","",SUMIFS(MOVIMIENTOS!$I:$I,MOVIMIENTOS!$D:$D,"Aporte",MOVIMIENTOS!$E:$E,"Extraordinaria",MOVIMIENTOS!$F:$F,S$4,MOVIMIENTOS!$J:$J,$C57))</f>
        <v/>
      </c>
      <c r="T57" s="5" t="str">
        <f aca="false">IF($C57="","",SUMIFS(MOVIMIENTOS!$I:$I,MOVIMIENTOS!$D:$D,"Aporte",MOVIMIENTOS!$E:$E,"Extraordinaria",MOVIMIENTOS!$F:$F,T$4,MOVIMIENTOS!$J:$J,$C57))</f>
        <v/>
      </c>
      <c r="U57" s="5" t="str">
        <f aca="false">IF($C57="","",SUMIFS(MOVIMIENTOS!$I:$I,MOVIMIENTOS!$D:$D,"Aporte",MOVIMIENTOS!$E:$E,"Extraordinaria",MOVIMIENTOS!$F:$F,U$4,MOVIMIENTOS!$J:$J,$C57))</f>
        <v/>
      </c>
      <c r="V57" s="5" t="str">
        <f aca="false">IF($C57="","",SUMIFS(MOVIMIENTOS!$I:$I,MOVIMIENTOS!$D:$D,"Aporte",MOVIMIENTOS!$E:$E,"Extraordinaria",MOVIMIENTOS!$F:$F,V$4,MOVIMIENTOS!$J:$J,$C57))</f>
        <v/>
      </c>
      <c r="W57" s="5" t="str">
        <f aca="false">IF($C57="","",SUM(P57:V57))</f>
        <v/>
      </c>
      <c r="X57" s="5" t="str">
        <f aca="false">IF($C57="","",O57+W57)</f>
        <v/>
      </c>
      <c r="Y57" s="12"/>
    </row>
    <row r="58" customFormat="false" ht="15" hidden="false" customHeight="false" outlineLevel="0" collapsed="false">
      <c r="A58" s="12"/>
      <c r="B58" s="12"/>
      <c r="C58" s="12"/>
      <c r="D58" s="12"/>
      <c r="E58" s="5" t="str">
        <f aca="false">IF($C58="","",SUMIFS(MOVIMIENTOS!$I:$I,MOVIMIENTOS!$D:$D,"Aporte",MOVIMIENTOS!$E:$E,"Anual",MOVIMIENTOS!$J:$J,$C58,MOVIMIENTOS!$B:$B,"&gt;="&amp;DATE(2026,3,1),MOVIMIENTOS!$B:$B,"&lt;"&amp;DATE(2026,4,1)))</f>
        <v/>
      </c>
      <c r="F58" s="5" t="str">
        <f aca="false">IF($C58="","",SUMIFS(MOVIMIENTOS!$I:$I,MOVIMIENTOS!$D:$D,"Aporte",MOVIMIENTOS!$E:$E,"Anual",MOVIMIENTOS!$J:$J,$C58,MOVIMIENTOS!$B:$B,"&gt;="&amp;DATE(2026,4,1),MOVIMIENTOS!$B:$B,"&lt;"&amp;DATE(2026,5,1)))</f>
        <v/>
      </c>
      <c r="G58" s="5" t="str">
        <f aca="false">IF($C58="","",SUMIFS(MOVIMIENTOS!$I:$I,MOVIMIENTOS!$D:$D,"Aporte",MOVIMIENTOS!$E:$E,"Anual",MOVIMIENTOS!$J:$J,$C58,MOVIMIENTOS!$B:$B,"&gt;="&amp;DATE(2026,5,1),MOVIMIENTOS!$B:$B,"&lt;"&amp;DATE(2026,6,1)))</f>
        <v/>
      </c>
      <c r="H58" s="5" t="str">
        <f aca="false">IF($C58="","",SUMIFS(MOVIMIENTOS!$I:$I,MOVIMIENTOS!$D:$D,"Aporte",MOVIMIENTOS!$E:$E,"Anual",MOVIMIENTOS!$J:$J,$C58,MOVIMIENTOS!$B:$B,"&gt;="&amp;DATE(2026,6,1),MOVIMIENTOS!$B:$B,"&lt;"&amp;DATE(2026,7,1)))</f>
        <v/>
      </c>
      <c r="I58" s="5" t="str">
        <f aca="false">IF($C58="","",SUMIFS(MOVIMIENTOS!$I:$I,MOVIMIENTOS!$D:$D,"Aporte",MOVIMIENTOS!$E:$E,"Anual",MOVIMIENTOS!$J:$J,$C58,MOVIMIENTOS!$B:$B,"&gt;="&amp;DATE(2026,7,1),MOVIMIENTOS!$B:$B,"&lt;"&amp;DATE(2026,8,1)))</f>
        <v/>
      </c>
      <c r="J58" s="5" t="str">
        <f aca="false">IF($C58="","",SUMIFS(MOVIMIENTOS!$I:$I,MOVIMIENTOS!$D:$D,"Aporte",MOVIMIENTOS!$E:$E,"Anual",MOVIMIENTOS!$J:$J,$C58,MOVIMIENTOS!$B:$B,"&gt;="&amp;DATE(2026,8,1),MOVIMIENTOS!$B:$B,"&lt;"&amp;DATE(2026,9,1)))</f>
        <v/>
      </c>
      <c r="K58" s="5" t="str">
        <f aca="false">IF($C58="","",SUMIFS(MOVIMIENTOS!$I:$I,MOVIMIENTOS!$D:$D,"Aporte",MOVIMIENTOS!$E:$E,"Anual",MOVIMIENTOS!$J:$J,$C58,MOVIMIENTOS!$B:$B,"&gt;="&amp;DATE(2026,9,1),MOVIMIENTOS!$B:$B,"&lt;"&amp;DATE(2026,10,1)))</f>
        <v/>
      </c>
      <c r="L58" s="5" t="str">
        <f aca="false">IF($C58="","",SUMIFS(MOVIMIENTOS!$I:$I,MOVIMIENTOS!$D:$D,"Aporte",MOVIMIENTOS!$E:$E,"Anual",MOVIMIENTOS!$J:$J,$C58,MOVIMIENTOS!$B:$B,"&gt;="&amp;DATE(2026,10,1),MOVIMIENTOS!$B:$B,"&lt;"&amp;DATE(2026,11,1)))</f>
        <v/>
      </c>
      <c r="M58" s="5" t="str">
        <f aca="false">IF($C58="","",SUMIFS(MOVIMIENTOS!$I:$I,MOVIMIENTOS!$D:$D,"Aporte",MOVIMIENTOS!$E:$E,"Anual",MOVIMIENTOS!$J:$J,$C58,MOVIMIENTOS!$B:$B,"&gt;="&amp;DATE(2026,11,1),MOVIMIENTOS!$B:$B,"&lt;"&amp;DATE(2026,12,1)))</f>
        <v/>
      </c>
      <c r="N58" s="5" t="str">
        <f aca="false">IF($C58="","",SUMIFS(MOVIMIENTOS!$I:$I,MOVIMIENTOS!$D:$D,"Aporte",MOVIMIENTOS!$E:$E,"Anual",MOVIMIENTOS!$J:$J,$C58,MOVIMIENTOS!$B:$B,"&gt;="&amp;DATE(2026,12,1),MOVIMIENTOS!$B:$B,"&lt;"&amp;DATE(2026,13,1)))</f>
        <v/>
      </c>
      <c r="O58" s="5" t="str">
        <f aca="false">IF($C58="","",SUM(E58:N58))</f>
        <v/>
      </c>
      <c r="P58" s="5" t="str">
        <f aca="false">IF($C58="","",SUMIFS(MOVIMIENTOS!$I:$I,MOVIMIENTOS!$D:$D,"Aporte",MOVIMIENTOS!$E:$E,"Extraordinaria",MOVIMIENTOS!$F:$F,P$4,MOVIMIENTOS!$J:$J,$C58))</f>
        <v/>
      </c>
      <c r="Q58" s="5" t="str">
        <f aca="false">IF($C58="","",SUMIFS(MOVIMIENTOS!$I:$I,MOVIMIENTOS!$D:$D,"Aporte",MOVIMIENTOS!$E:$E,"Extraordinaria",MOVIMIENTOS!$F:$F,Q$4,MOVIMIENTOS!$J:$J,$C58))</f>
        <v/>
      </c>
      <c r="R58" s="5" t="str">
        <f aca="false">IF($C58="","",SUMIFS(MOVIMIENTOS!$I:$I,MOVIMIENTOS!$D:$D,"Aporte",MOVIMIENTOS!$E:$E,"Extraordinaria",MOVIMIENTOS!$F:$F,R$4,MOVIMIENTOS!$J:$J,$C58))</f>
        <v/>
      </c>
      <c r="S58" s="5" t="str">
        <f aca="false">IF($C58="","",SUMIFS(MOVIMIENTOS!$I:$I,MOVIMIENTOS!$D:$D,"Aporte",MOVIMIENTOS!$E:$E,"Extraordinaria",MOVIMIENTOS!$F:$F,S$4,MOVIMIENTOS!$J:$J,$C58))</f>
        <v/>
      </c>
      <c r="T58" s="5" t="str">
        <f aca="false">IF($C58="","",SUMIFS(MOVIMIENTOS!$I:$I,MOVIMIENTOS!$D:$D,"Aporte",MOVIMIENTOS!$E:$E,"Extraordinaria",MOVIMIENTOS!$F:$F,T$4,MOVIMIENTOS!$J:$J,$C58))</f>
        <v/>
      </c>
      <c r="U58" s="5" t="str">
        <f aca="false">IF($C58="","",SUMIFS(MOVIMIENTOS!$I:$I,MOVIMIENTOS!$D:$D,"Aporte",MOVIMIENTOS!$E:$E,"Extraordinaria",MOVIMIENTOS!$F:$F,U$4,MOVIMIENTOS!$J:$J,$C58))</f>
        <v/>
      </c>
      <c r="V58" s="5" t="str">
        <f aca="false">IF($C58="","",SUMIFS(MOVIMIENTOS!$I:$I,MOVIMIENTOS!$D:$D,"Aporte",MOVIMIENTOS!$E:$E,"Extraordinaria",MOVIMIENTOS!$F:$F,V$4,MOVIMIENTOS!$J:$J,$C58))</f>
        <v/>
      </c>
      <c r="W58" s="5" t="str">
        <f aca="false">IF($C58="","",SUM(P58:V58))</f>
        <v/>
      </c>
      <c r="X58" s="5" t="str">
        <f aca="false">IF($C58="","",O58+W58)</f>
        <v/>
      </c>
      <c r="Y58" s="12"/>
    </row>
    <row r="59" customFormat="false" ht="15" hidden="false" customHeight="false" outlineLevel="0" collapsed="false">
      <c r="A59" s="12"/>
      <c r="B59" s="12"/>
      <c r="C59" s="12"/>
      <c r="D59" s="12"/>
      <c r="E59" s="5" t="str">
        <f aca="false">IF($C59="","",SUMIFS(MOVIMIENTOS!$I:$I,MOVIMIENTOS!$D:$D,"Aporte",MOVIMIENTOS!$E:$E,"Anual",MOVIMIENTOS!$J:$J,$C59,MOVIMIENTOS!$B:$B,"&gt;="&amp;DATE(2026,3,1),MOVIMIENTOS!$B:$B,"&lt;"&amp;DATE(2026,4,1)))</f>
        <v/>
      </c>
      <c r="F59" s="5" t="str">
        <f aca="false">IF($C59="","",SUMIFS(MOVIMIENTOS!$I:$I,MOVIMIENTOS!$D:$D,"Aporte",MOVIMIENTOS!$E:$E,"Anual",MOVIMIENTOS!$J:$J,$C59,MOVIMIENTOS!$B:$B,"&gt;="&amp;DATE(2026,4,1),MOVIMIENTOS!$B:$B,"&lt;"&amp;DATE(2026,5,1)))</f>
        <v/>
      </c>
      <c r="G59" s="5" t="str">
        <f aca="false">IF($C59="","",SUMIFS(MOVIMIENTOS!$I:$I,MOVIMIENTOS!$D:$D,"Aporte",MOVIMIENTOS!$E:$E,"Anual",MOVIMIENTOS!$J:$J,$C59,MOVIMIENTOS!$B:$B,"&gt;="&amp;DATE(2026,5,1),MOVIMIENTOS!$B:$B,"&lt;"&amp;DATE(2026,6,1)))</f>
        <v/>
      </c>
      <c r="H59" s="5" t="str">
        <f aca="false">IF($C59="","",SUMIFS(MOVIMIENTOS!$I:$I,MOVIMIENTOS!$D:$D,"Aporte",MOVIMIENTOS!$E:$E,"Anual",MOVIMIENTOS!$J:$J,$C59,MOVIMIENTOS!$B:$B,"&gt;="&amp;DATE(2026,6,1),MOVIMIENTOS!$B:$B,"&lt;"&amp;DATE(2026,7,1)))</f>
        <v/>
      </c>
      <c r="I59" s="5" t="str">
        <f aca="false">IF($C59="","",SUMIFS(MOVIMIENTOS!$I:$I,MOVIMIENTOS!$D:$D,"Aporte",MOVIMIENTOS!$E:$E,"Anual",MOVIMIENTOS!$J:$J,$C59,MOVIMIENTOS!$B:$B,"&gt;="&amp;DATE(2026,7,1),MOVIMIENTOS!$B:$B,"&lt;"&amp;DATE(2026,8,1)))</f>
        <v/>
      </c>
      <c r="J59" s="5" t="str">
        <f aca="false">IF($C59="","",SUMIFS(MOVIMIENTOS!$I:$I,MOVIMIENTOS!$D:$D,"Aporte",MOVIMIENTOS!$E:$E,"Anual",MOVIMIENTOS!$J:$J,$C59,MOVIMIENTOS!$B:$B,"&gt;="&amp;DATE(2026,8,1),MOVIMIENTOS!$B:$B,"&lt;"&amp;DATE(2026,9,1)))</f>
        <v/>
      </c>
      <c r="K59" s="5" t="str">
        <f aca="false">IF($C59="","",SUMIFS(MOVIMIENTOS!$I:$I,MOVIMIENTOS!$D:$D,"Aporte",MOVIMIENTOS!$E:$E,"Anual",MOVIMIENTOS!$J:$J,$C59,MOVIMIENTOS!$B:$B,"&gt;="&amp;DATE(2026,9,1),MOVIMIENTOS!$B:$B,"&lt;"&amp;DATE(2026,10,1)))</f>
        <v/>
      </c>
      <c r="L59" s="5" t="str">
        <f aca="false">IF($C59="","",SUMIFS(MOVIMIENTOS!$I:$I,MOVIMIENTOS!$D:$D,"Aporte",MOVIMIENTOS!$E:$E,"Anual",MOVIMIENTOS!$J:$J,$C59,MOVIMIENTOS!$B:$B,"&gt;="&amp;DATE(2026,10,1),MOVIMIENTOS!$B:$B,"&lt;"&amp;DATE(2026,11,1)))</f>
        <v/>
      </c>
      <c r="M59" s="5" t="str">
        <f aca="false">IF($C59="","",SUMIFS(MOVIMIENTOS!$I:$I,MOVIMIENTOS!$D:$D,"Aporte",MOVIMIENTOS!$E:$E,"Anual",MOVIMIENTOS!$J:$J,$C59,MOVIMIENTOS!$B:$B,"&gt;="&amp;DATE(2026,11,1),MOVIMIENTOS!$B:$B,"&lt;"&amp;DATE(2026,12,1)))</f>
        <v/>
      </c>
      <c r="N59" s="5" t="str">
        <f aca="false">IF($C59="","",SUMIFS(MOVIMIENTOS!$I:$I,MOVIMIENTOS!$D:$D,"Aporte",MOVIMIENTOS!$E:$E,"Anual",MOVIMIENTOS!$J:$J,$C59,MOVIMIENTOS!$B:$B,"&gt;="&amp;DATE(2026,12,1),MOVIMIENTOS!$B:$B,"&lt;"&amp;DATE(2026,13,1)))</f>
        <v/>
      </c>
      <c r="O59" s="5" t="str">
        <f aca="false">IF($C59="","",SUM(E59:N59))</f>
        <v/>
      </c>
      <c r="P59" s="5" t="str">
        <f aca="false">IF($C59="","",SUMIFS(MOVIMIENTOS!$I:$I,MOVIMIENTOS!$D:$D,"Aporte",MOVIMIENTOS!$E:$E,"Extraordinaria",MOVIMIENTOS!$F:$F,P$4,MOVIMIENTOS!$J:$J,$C59))</f>
        <v/>
      </c>
      <c r="Q59" s="5" t="str">
        <f aca="false">IF($C59="","",SUMIFS(MOVIMIENTOS!$I:$I,MOVIMIENTOS!$D:$D,"Aporte",MOVIMIENTOS!$E:$E,"Extraordinaria",MOVIMIENTOS!$F:$F,Q$4,MOVIMIENTOS!$J:$J,$C59))</f>
        <v/>
      </c>
      <c r="R59" s="5" t="str">
        <f aca="false">IF($C59="","",SUMIFS(MOVIMIENTOS!$I:$I,MOVIMIENTOS!$D:$D,"Aporte",MOVIMIENTOS!$E:$E,"Extraordinaria",MOVIMIENTOS!$F:$F,R$4,MOVIMIENTOS!$J:$J,$C59))</f>
        <v/>
      </c>
      <c r="S59" s="5" t="str">
        <f aca="false">IF($C59="","",SUMIFS(MOVIMIENTOS!$I:$I,MOVIMIENTOS!$D:$D,"Aporte",MOVIMIENTOS!$E:$E,"Extraordinaria",MOVIMIENTOS!$F:$F,S$4,MOVIMIENTOS!$J:$J,$C59))</f>
        <v/>
      </c>
      <c r="T59" s="5" t="str">
        <f aca="false">IF($C59="","",SUMIFS(MOVIMIENTOS!$I:$I,MOVIMIENTOS!$D:$D,"Aporte",MOVIMIENTOS!$E:$E,"Extraordinaria",MOVIMIENTOS!$F:$F,T$4,MOVIMIENTOS!$J:$J,$C59))</f>
        <v/>
      </c>
      <c r="U59" s="5" t="str">
        <f aca="false">IF($C59="","",SUMIFS(MOVIMIENTOS!$I:$I,MOVIMIENTOS!$D:$D,"Aporte",MOVIMIENTOS!$E:$E,"Extraordinaria",MOVIMIENTOS!$F:$F,U$4,MOVIMIENTOS!$J:$J,$C59))</f>
        <v/>
      </c>
      <c r="V59" s="5" t="str">
        <f aca="false">IF($C59="","",SUMIFS(MOVIMIENTOS!$I:$I,MOVIMIENTOS!$D:$D,"Aporte",MOVIMIENTOS!$E:$E,"Extraordinaria",MOVIMIENTOS!$F:$F,V$4,MOVIMIENTOS!$J:$J,$C59))</f>
        <v/>
      </c>
      <c r="W59" s="5" t="str">
        <f aca="false">IF($C59="","",SUM(P59:V59))</f>
        <v/>
      </c>
      <c r="X59" s="5" t="str">
        <f aca="false">IF($C59="","",O59+W59)</f>
        <v/>
      </c>
      <c r="Y59" s="12"/>
    </row>
    <row r="60" customFormat="false" ht="15" hidden="false" customHeight="false" outlineLevel="0" collapsed="false">
      <c r="A60" s="12"/>
      <c r="B60" s="12"/>
      <c r="C60" s="12"/>
      <c r="D60" s="12"/>
      <c r="E60" s="5" t="str">
        <f aca="false">IF($C60="","",SUMIFS(MOVIMIENTOS!$I:$I,MOVIMIENTOS!$D:$D,"Aporte",MOVIMIENTOS!$E:$E,"Anual",MOVIMIENTOS!$J:$J,$C60,MOVIMIENTOS!$B:$B,"&gt;="&amp;DATE(2026,3,1),MOVIMIENTOS!$B:$B,"&lt;"&amp;DATE(2026,4,1)))</f>
        <v/>
      </c>
      <c r="F60" s="5" t="str">
        <f aca="false">IF($C60="","",SUMIFS(MOVIMIENTOS!$I:$I,MOVIMIENTOS!$D:$D,"Aporte",MOVIMIENTOS!$E:$E,"Anual",MOVIMIENTOS!$J:$J,$C60,MOVIMIENTOS!$B:$B,"&gt;="&amp;DATE(2026,4,1),MOVIMIENTOS!$B:$B,"&lt;"&amp;DATE(2026,5,1)))</f>
        <v/>
      </c>
      <c r="G60" s="5" t="str">
        <f aca="false">IF($C60="","",SUMIFS(MOVIMIENTOS!$I:$I,MOVIMIENTOS!$D:$D,"Aporte",MOVIMIENTOS!$E:$E,"Anual",MOVIMIENTOS!$J:$J,$C60,MOVIMIENTOS!$B:$B,"&gt;="&amp;DATE(2026,5,1),MOVIMIENTOS!$B:$B,"&lt;"&amp;DATE(2026,6,1)))</f>
        <v/>
      </c>
      <c r="H60" s="5" t="str">
        <f aca="false">IF($C60="","",SUMIFS(MOVIMIENTOS!$I:$I,MOVIMIENTOS!$D:$D,"Aporte",MOVIMIENTOS!$E:$E,"Anual",MOVIMIENTOS!$J:$J,$C60,MOVIMIENTOS!$B:$B,"&gt;="&amp;DATE(2026,6,1),MOVIMIENTOS!$B:$B,"&lt;"&amp;DATE(2026,7,1)))</f>
        <v/>
      </c>
      <c r="I60" s="5" t="str">
        <f aca="false">IF($C60="","",SUMIFS(MOVIMIENTOS!$I:$I,MOVIMIENTOS!$D:$D,"Aporte",MOVIMIENTOS!$E:$E,"Anual",MOVIMIENTOS!$J:$J,$C60,MOVIMIENTOS!$B:$B,"&gt;="&amp;DATE(2026,7,1),MOVIMIENTOS!$B:$B,"&lt;"&amp;DATE(2026,8,1)))</f>
        <v/>
      </c>
      <c r="J60" s="5" t="str">
        <f aca="false">IF($C60="","",SUMIFS(MOVIMIENTOS!$I:$I,MOVIMIENTOS!$D:$D,"Aporte",MOVIMIENTOS!$E:$E,"Anual",MOVIMIENTOS!$J:$J,$C60,MOVIMIENTOS!$B:$B,"&gt;="&amp;DATE(2026,8,1),MOVIMIENTOS!$B:$B,"&lt;"&amp;DATE(2026,9,1)))</f>
        <v/>
      </c>
      <c r="K60" s="5" t="str">
        <f aca="false">IF($C60="","",SUMIFS(MOVIMIENTOS!$I:$I,MOVIMIENTOS!$D:$D,"Aporte",MOVIMIENTOS!$E:$E,"Anual",MOVIMIENTOS!$J:$J,$C60,MOVIMIENTOS!$B:$B,"&gt;="&amp;DATE(2026,9,1),MOVIMIENTOS!$B:$B,"&lt;"&amp;DATE(2026,10,1)))</f>
        <v/>
      </c>
      <c r="L60" s="5" t="str">
        <f aca="false">IF($C60="","",SUMIFS(MOVIMIENTOS!$I:$I,MOVIMIENTOS!$D:$D,"Aporte",MOVIMIENTOS!$E:$E,"Anual",MOVIMIENTOS!$J:$J,$C60,MOVIMIENTOS!$B:$B,"&gt;="&amp;DATE(2026,10,1),MOVIMIENTOS!$B:$B,"&lt;"&amp;DATE(2026,11,1)))</f>
        <v/>
      </c>
      <c r="M60" s="5" t="str">
        <f aca="false">IF($C60="","",SUMIFS(MOVIMIENTOS!$I:$I,MOVIMIENTOS!$D:$D,"Aporte",MOVIMIENTOS!$E:$E,"Anual",MOVIMIENTOS!$J:$J,$C60,MOVIMIENTOS!$B:$B,"&gt;="&amp;DATE(2026,11,1),MOVIMIENTOS!$B:$B,"&lt;"&amp;DATE(2026,12,1)))</f>
        <v/>
      </c>
      <c r="N60" s="5" t="str">
        <f aca="false">IF($C60="","",SUMIFS(MOVIMIENTOS!$I:$I,MOVIMIENTOS!$D:$D,"Aporte",MOVIMIENTOS!$E:$E,"Anual",MOVIMIENTOS!$J:$J,$C60,MOVIMIENTOS!$B:$B,"&gt;="&amp;DATE(2026,12,1),MOVIMIENTOS!$B:$B,"&lt;"&amp;DATE(2026,13,1)))</f>
        <v/>
      </c>
      <c r="O60" s="5" t="str">
        <f aca="false">IF($C60="","",SUM(E60:N60))</f>
        <v/>
      </c>
      <c r="P60" s="5" t="str">
        <f aca="false">IF($C60="","",SUMIFS(MOVIMIENTOS!$I:$I,MOVIMIENTOS!$D:$D,"Aporte",MOVIMIENTOS!$E:$E,"Extraordinaria",MOVIMIENTOS!$F:$F,P$4,MOVIMIENTOS!$J:$J,$C60))</f>
        <v/>
      </c>
      <c r="Q60" s="5" t="str">
        <f aca="false">IF($C60="","",SUMIFS(MOVIMIENTOS!$I:$I,MOVIMIENTOS!$D:$D,"Aporte",MOVIMIENTOS!$E:$E,"Extraordinaria",MOVIMIENTOS!$F:$F,Q$4,MOVIMIENTOS!$J:$J,$C60))</f>
        <v/>
      </c>
      <c r="R60" s="5" t="str">
        <f aca="false">IF($C60="","",SUMIFS(MOVIMIENTOS!$I:$I,MOVIMIENTOS!$D:$D,"Aporte",MOVIMIENTOS!$E:$E,"Extraordinaria",MOVIMIENTOS!$F:$F,R$4,MOVIMIENTOS!$J:$J,$C60))</f>
        <v/>
      </c>
      <c r="S60" s="5" t="str">
        <f aca="false">IF($C60="","",SUMIFS(MOVIMIENTOS!$I:$I,MOVIMIENTOS!$D:$D,"Aporte",MOVIMIENTOS!$E:$E,"Extraordinaria",MOVIMIENTOS!$F:$F,S$4,MOVIMIENTOS!$J:$J,$C60))</f>
        <v/>
      </c>
      <c r="T60" s="5" t="str">
        <f aca="false">IF($C60="","",SUMIFS(MOVIMIENTOS!$I:$I,MOVIMIENTOS!$D:$D,"Aporte",MOVIMIENTOS!$E:$E,"Extraordinaria",MOVIMIENTOS!$F:$F,T$4,MOVIMIENTOS!$J:$J,$C60))</f>
        <v/>
      </c>
      <c r="U60" s="5" t="str">
        <f aca="false">IF($C60="","",SUMIFS(MOVIMIENTOS!$I:$I,MOVIMIENTOS!$D:$D,"Aporte",MOVIMIENTOS!$E:$E,"Extraordinaria",MOVIMIENTOS!$F:$F,U$4,MOVIMIENTOS!$J:$J,$C60))</f>
        <v/>
      </c>
      <c r="V60" s="5" t="str">
        <f aca="false">IF($C60="","",SUMIFS(MOVIMIENTOS!$I:$I,MOVIMIENTOS!$D:$D,"Aporte",MOVIMIENTOS!$E:$E,"Extraordinaria",MOVIMIENTOS!$F:$F,V$4,MOVIMIENTOS!$J:$J,$C60))</f>
        <v/>
      </c>
      <c r="W60" s="5" t="str">
        <f aca="false">IF($C60="","",SUM(P60:V60))</f>
        <v/>
      </c>
      <c r="X60" s="5" t="str">
        <f aca="false">IF($C60="","",O60+W60)</f>
        <v/>
      </c>
      <c r="Y60" s="12"/>
    </row>
    <row r="61" customFormat="false" ht="15" hidden="false" customHeight="false" outlineLevel="0" collapsed="false">
      <c r="A61" s="12"/>
      <c r="B61" s="12"/>
      <c r="C61" s="12"/>
      <c r="D61" s="12"/>
      <c r="E61" s="5" t="str">
        <f aca="false">IF($C61="","",SUMIFS(MOVIMIENTOS!$I:$I,MOVIMIENTOS!$D:$D,"Aporte",MOVIMIENTOS!$E:$E,"Anual",MOVIMIENTOS!$J:$J,$C61,MOVIMIENTOS!$B:$B,"&gt;="&amp;DATE(2026,3,1),MOVIMIENTOS!$B:$B,"&lt;"&amp;DATE(2026,4,1)))</f>
        <v/>
      </c>
      <c r="F61" s="5" t="str">
        <f aca="false">IF($C61="","",SUMIFS(MOVIMIENTOS!$I:$I,MOVIMIENTOS!$D:$D,"Aporte",MOVIMIENTOS!$E:$E,"Anual",MOVIMIENTOS!$J:$J,$C61,MOVIMIENTOS!$B:$B,"&gt;="&amp;DATE(2026,4,1),MOVIMIENTOS!$B:$B,"&lt;"&amp;DATE(2026,5,1)))</f>
        <v/>
      </c>
      <c r="G61" s="5" t="str">
        <f aca="false">IF($C61="","",SUMIFS(MOVIMIENTOS!$I:$I,MOVIMIENTOS!$D:$D,"Aporte",MOVIMIENTOS!$E:$E,"Anual",MOVIMIENTOS!$J:$J,$C61,MOVIMIENTOS!$B:$B,"&gt;="&amp;DATE(2026,5,1),MOVIMIENTOS!$B:$B,"&lt;"&amp;DATE(2026,6,1)))</f>
        <v/>
      </c>
      <c r="H61" s="5" t="str">
        <f aca="false">IF($C61="","",SUMIFS(MOVIMIENTOS!$I:$I,MOVIMIENTOS!$D:$D,"Aporte",MOVIMIENTOS!$E:$E,"Anual",MOVIMIENTOS!$J:$J,$C61,MOVIMIENTOS!$B:$B,"&gt;="&amp;DATE(2026,6,1),MOVIMIENTOS!$B:$B,"&lt;"&amp;DATE(2026,7,1)))</f>
        <v/>
      </c>
      <c r="I61" s="5" t="str">
        <f aca="false">IF($C61="","",SUMIFS(MOVIMIENTOS!$I:$I,MOVIMIENTOS!$D:$D,"Aporte",MOVIMIENTOS!$E:$E,"Anual",MOVIMIENTOS!$J:$J,$C61,MOVIMIENTOS!$B:$B,"&gt;="&amp;DATE(2026,7,1),MOVIMIENTOS!$B:$B,"&lt;"&amp;DATE(2026,8,1)))</f>
        <v/>
      </c>
      <c r="J61" s="5" t="str">
        <f aca="false">IF($C61="","",SUMIFS(MOVIMIENTOS!$I:$I,MOVIMIENTOS!$D:$D,"Aporte",MOVIMIENTOS!$E:$E,"Anual",MOVIMIENTOS!$J:$J,$C61,MOVIMIENTOS!$B:$B,"&gt;="&amp;DATE(2026,8,1),MOVIMIENTOS!$B:$B,"&lt;"&amp;DATE(2026,9,1)))</f>
        <v/>
      </c>
      <c r="K61" s="5" t="str">
        <f aca="false">IF($C61="","",SUMIFS(MOVIMIENTOS!$I:$I,MOVIMIENTOS!$D:$D,"Aporte",MOVIMIENTOS!$E:$E,"Anual",MOVIMIENTOS!$J:$J,$C61,MOVIMIENTOS!$B:$B,"&gt;="&amp;DATE(2026,9,1),MOVIMIENTOS!$B:$B,"&lt;"&amp;DATE(2026,10,1)))</f>
        <v/>
      </c>
      <c r="L61" s="5" t="str">
        <f aca="false">IF($C61="","",SUMIFS(MOVIMIENTOS!$I:$I,MOVIMIENTOS!$D:$D,"Aporte",MOVIMIENTOS!$E:$E,"Anual",MOVIMIENTOS!$J:$J,$C61,MOVIMIENTOS!$B:$B,"&gt;="&amp;DATE(2026,10,1),MOVIMIENTOS!$B:$B,"&lt;"&amp;DATE(2026,11,1)))</f>
        <v/>
      </c>
      <c r="M61" s="5" t="str">
        <f aca="false">IF($C61="","",SUMIFS(MOVIMIENTOS!$I:$I,MOVIMIENTOS!$D:$D,"Aporte",MOVIMIENTOS!$E:$E,"Anual",MOVIMIENTOS!$J:$J,$C61,MOVIMIENTOS!$B:$B,"&gt;="&amp;DATE(2026,11,1),MOVIMIENTOS!$B:$B,"&lt;"&amp;DATE(2026,12,1)))</f>
        <v/>
      </c>
      <c r="N61" s="5" t="str">
        <f aca="false">IF($C61="","",SUMIFS(MOVIMIENTOS!$I:$I,MOVIMIENTOS!$D:$D,"Aporte",MOVIMIENTOS!$E:$E,"Anual",MOVIMIENTOS!$J:$J,$C61,MOVIMIENTOS!$B:$B,"&gt;="&amp;DATE(2026,12,1),MOVIMIENTOS!$B:$B,"&lt;"&amp;DATE(2026,13,1)))</f>
        <v/>
      </c>
      <c r="O61" s="5" t="str">
        <f aca="false">IF($C61="","",SUM(E61:N61))</f>
        <v/>
      </c>
      <c r="P61" s="5" t="str">
        <f aca="false">IF($C61="","",SUMIFS(MOVIMIENTOS!$I:$I,MOVIMIENTOS!$D:$D,"Aporte",MOVIMIENTOS!$E:$E,"Extraordinaria",MOVIMIENTOS!$F:$F,P$4,MOVIMIENTOS!$J:$J,$C61))</f>
        <v/>
      </c>
      <c r="Q61" s="5" t="str">
        <f aca="false">IF($C61="","",SUMIFS(MOVIMIENTOS!$I:$I,MOVIMIENTOS!$D:$D,"Aporte",MOVIMIENTOS!$E:$E,"Extraordinaria",MOVIMIENTOS!$F:$F,Q$4,MOVIMIENTOS!$J:$J,$C61))</f>
        <v/>
      </c>
      <c r="R61" s="5" t="str">
        <f aca="false">IF($C61="","",SUMIFS(MOVIMIENTOS!$I:$I,MOVIMIENTOS!$D:$D,"Aporte",MOVIMIENTOS!$E:$E,"Extraordinaria",MOVIMIENTOS!$F:$F,R$4,MOVIMIENTOS!$J:$J,$C61))</f>
        <v/>
      </c>
      <c r="S61" s="5" t="str">
        <f aca="false">IF($C61="","",SUMIFS(MOVIMIENTOS!$I:$I,MOVIMIENTOS!$D:$D,"Aporte",MOVIMIENTOS!$E:$E,"Extraordinaria",MOVIMIENTOS!$F:$F,S$4,MOVIMIENTOS!$J:$J,$C61))</f>
        <v/>
      </c>
      <c r="T61" s="5" t="str">
        <f aca="false">IF($C61="","",SUMIFS(MOVIMIENTOS!$I:$I,MOVIMIENTOS!$D:$D,"Aporte",MOVIMIENTOS!$E:$E,"Extraordinaria",MOVIMIENTOS!$F:$F,T$4,MOVIMIENTOS!$J:$J,$C61))</f>
        <v/>
      </c>
      <c r="U61" s="5" t="str">
        <f aca="false">IF($C61="","",SUMIFS(MOVIMIENTOS!$I:$I,MOVIMIENTOS!$D:$D,"Aporte",MOVIMIENTOS!$E:$E,"Extraordinaria",MOVIMIENTOS!$F:$F,U$4,MOVIMIENTOS!$J:$J,$C61))</f>
        <v/>
      </c>
      <c r="V61" s="5" t="str">
        <f aca="false">IF($C61="","",SUMIFS(MOVIMIENTOS!$I:$I,MOVIMIENTOS!$D:$D,"Aporte",MOVIMIENTOS!$E:$E,"Extraordinaria",MOVIMIENTOS!$F:$F,V$4,MOVIMIENTOS!$J:$J,$C61))</f>
        <v/>
      </c>
      <c r="W61" s="5" t="str">
        <f aca="false">IF($C61="","",SUM(P61:V61))</f>
        <v/>
      </c>
      <c r="X61" s="5" t="str">
        <f aca="false">IF($C61="","",O61+W61)</f>
        <v/>
      </c>
      <c r="Y61" s="12"/>
    </row>
    <row r="62" customFormat="false" ht="15" hidden="false" customHeight="false" outlineLevel="0" collapsed="false">
      <c r="A62" s="12"/>
      <c r="B62" s="12"/>
      <c r="C62" s="12"/>
      <c r="D62" s="12"/>
      <c r="E62" s="5" t="str">
        <f aca="false">IF($C62="","",SUMIFS(MOVIMIENTOS!$I:$I,MOVIMIENTOS!$D:$D,"Aporte",MOVIMIENTOS!$E:$E,"Anual",MOVIMIENTOS!$J:$J,$C62,MOVIMIENTOS!$B:$B,"&gt;="&amp;DATE(2026,3,1),MOVIMIENTOS!$B:$B,"&lt;"&amp;DATE(2026,4,1)))</f>
        <v/>
      </c>
      <c r="F62" s="5" t="str">
        <f aca="false">IF($C62="","",SUMIFS(MOVIMIENTOS!$I:$I,MOVIMIENTOS!$D:$D,"Aporte",MOVIMIENTOS!$E:$E,"Anual",MOVIMIENTOS!$J:$J,$C62,MOVIMIENTOS!$B:$B,"&gt;="&amp;DATE(2026,4,1),MOVIMIENTOS!$B:$B,"&lt;"&amp;DATE(2026,5,1)))</f>
        <v/>
      </c>
      <c r="G62" s="5" t="str">
        <f aca="false">IF($C62="","",SUMIFS(MOVIMIENTOS!$I:$I,MOVIMIENTOS!$D:$D,"Aporte",MOVIMIENTOS!$E:$E,"Anual",MOVIMIENTOS!$J:$J,$C62,MOVIMIENTOS!$B:$B,"&gt;="&amp;DATE(2026,5,1),MOVIMIENTOS!$B:$B,"&lt;"&amp;DATE(2026,6,1)))</f>
        <v/>
      </c>
      <c r="H62" s="5" t="str">
        <f aca="false">IF($C62="","",SUMIFS(MOVIMIENTOS!$I:$I,MOVIMIENTOS!$D:$D,"Aporte",MOVIMIENTOS!$E:$E,"Anual",MOVIMIENTOS!$J:$J,$C62,MOVIMIENTOS!$B:$B,"&gt;="&amp;DATE(2026,6,1),MOVIMIENTOS!$B:$B,"&lt;"&amp;DATE(2026,7,1)))</f>
        <v/>
      </c>
      <c r="I62" s="5" t="str">
        <f aca="false">IF($C62="","",SUMIFS(MOVIMIENTOS!$I:$I,MOVIMIENTOS!$D:$D,"Aporte",MOVIMIENTOS!$E:$E,"Anual",MOVIMIENTOS!$J:$J,$C62,MOVIMIENTOS!$B:$B,"&gt;="&amp;DATE(2026,7,1),MOVIMIENTOS!$B:$B,"&lt;"&amp;DATE(2026,8,1)))</f>
        <v/>
      </c>
      <c r="J62" s="5" t="str">
        <f aca="false">IF($C62="","",SUMIFS(MOVIMIENTOS!$I:$I,MOVIMIENTOS!$D:$D,"Aporte",MOVIMIENTOS!$E:$E,"Anual",MOVIMIENTOS!$J:$J,$C62,MOVIMIENTOS!$B:$B,"&gt;="&amp;DATE(2026,8,1),MOVIMIENTOS!$B:$B,"&lt;"&amp;DATE(2026,9,1)))</f>
        <v/>
      </c>
      <c r="K62" s="5" t="str">
        <f aca="false">IF($C62="","",SUMIFS(MOVIMIENTOS!$I:$I,MOVIMIENTOS!$D:$D,"Aporte",MOVIMIENTOS!$E:$E,"Anual",MOVIMIENTOS!$J:$J,$C62,MOVIMIENTOS!$B:$B,"&gt;="&amp;DATE(2026,9,1),MOVIMIENTOS!$B:$B,"&lt;"&amp;DATE(2026,10,1)))</f>
        <v/>
      </c>
      <c r="L62" s="5" t="str">
        <f aca="false">IF($C62="","",SUMIFS(MOVIMIENTOS!$I:$I,MOVIMIENTOS!$D:$D,"Aporte",MOVIMIENTOS!$E:$E,"Anual",MOVIMIENTOS!$J:$J,$C62,MOVIMIENTOS!$B:$B,"&gt;="&amp;DATE(2026,10,1),MOVIMIENTOS!$B:$B,"&lt;"&amp;DATE(2026,11,1)))</f>
        <v/>
      </c>
      <c r="M62" s="5" t="str">
        <f aca="false">IF($C62="","",SUMIFS(MOVIMIENTOS!$I:$I,MOVIMIENTOS!$D:$D,"Aporte",MOVIMIENTOS!$E:$E,"Anual",MOVIMIENTOS!$J:$J,$C62,MOVIMIENTOS!$B:$B,"&gt;="&amp;DATE(2026,11,1),MOVIMIENTOS!$B:$B,"&lt;"&amp;DATE(2026,12,1)))</f>
        <v/>
      </c>
      <c r="N62" s="5" t="str">
        <f aca="false">IF($C62="","",SUMIFS(MOVIMIENTOS!$I:$I,MOVIMIENTOS!$D:$D,"Aporte",MOVIMIENTOS!$E:$E,"Anual",MOVIMIENTOS!$J:$J,$C62,MOVIMIENTOS!$B:$B,"&gt;="&amp;DATE(2026,12,1),MOVIMIENTOS!$B:$B,"&lt;"&amp;DATE(2026,13,1)))</f>
        <v/>
      </c>
      <c r="O62" s="5" t="str">
        <f aca="false">IF($C62="","",SUM(E62:N62))</f>
        <v/>
      </c>
      <c r="P62" s="5" t="str">
        <f aca="false">IF($C62="","",SUMIFS(MOVIMIENTOS!$I:$I,MOVIMIENTOS!$D:$D,"Aporte",MOVIMIENTOS!$E:$E,"Extraordinaria",MOVIMIENTOS!$F:$F,P$4,MOVIMIENTOS!$J:$J,$C62))</f>
        <v/>
      </c>
      <c r="Q62" s="5" t="str">
        <f aca="false">IF($C62="","",SUMIFS(MOVIMIENTOS!$I:$I,MOVIMIENTOS!$D:$D,"Aporte",MOVIMIENTOS!$E:$E,"Extraordinaria",MOVIMIENTOS!$F:$F,Q$4,MOVIMIENTOS!$J:$J,$C62))</f>
        <v/>
      </c>
      <c r="R62" s="5" t="str">
        <f aca="false">IF($C62="","",SUMIFS(MOVIMIENTOS!$I:$I,MOVIMIENTOS!$D:$D,"Aporte",MOVIMIENTOS!$E:$E,"Extraordinaria",MOVIMIENTOS!$F:$F,R$4,MOVIMIENTOS!$J:$J,$C62))</f>
        <v/>
      </c>
      <c r="S62" s="5" t="str">
        <f aca="false">IF($C62="","",SUMIFS(MOVIMIENTOS!$I:$I,MOVIMIENTOS!$D:$D,"Aporte",MOVIMIENTOS!$E:$E,"Extraordinaria",MOVIMIENTOS!$F:$F,S$4,MOVIMIENTOS!$J:$J,$C62))</f>
        <v/>
      </c>
      <c r="T62" s="5" t="str">
        <f aca="false">IF($C62="","",SUMIFS(MOVIMIENTOS!$I:$I,MOVIMIENTOS!$D:$D,"Aporte",MOVIMIENTOS!$E:$E,"Extraordinaria",MOVIMIENTOS!$F:$F,T$4,MOVIMIENTOS!$J:$J,$C62))</f>
        <v/>
      </c>
      <c r="U62" s="5" t="str">
        <f aca="false">IF($C62="","",SUMIFS(MOVIMIENTOS!$I:$I,MOVIMIENTOS!$D:$D,"Aporte",MOVIMIENTOS!$E:$E,"Extraordinaria",MOVIMIENTOS!$F:$F,U$4,MOVIMIENTOS!$J:$J,$C62))</f>
        <v/>
      </c>
      <c r="V62" s="5" t="str">
        <f aca="false">IF($C62="","",SUMIFS(MOVIMIENTOS!$I:$I,MOVIMIENTOS!$D:$D,"Aporte",MOVIMIENTOS!$E:$E,"Extraordinaria",MOVIMIENTOS!$F:$F,V$4,MOVIMIENTOS!$J:$J,$C62))</f>
        <v/>
      </c>
      <c r="W62" s="5" t="str">
        <f aca="false">IF($C62="","",SUM(P62:V62))</f>
        <v/>
      </c>
      <c r="X62" s="5" t="str">
        <f aca="false">IF($C62="","",O62+W62)</f>
        <v/>
      </c>
      <c r="Y62" s="12"/>
    </row>
    <row r="63" customFormat="false" ht="15" hidden="false" customHeight="false" outlineLevel="0" collapsed="false">
      <c r="A63" s="12"/>
      <c r="B63" s="12"/>
      <c r="C63" s="12"/>
      <c r="D63" s="12"/>
      <c r="E63" s="5" t="str">
        <f aca="false">IF($C63="","",SUMIFS(MOVIMIENTOS!$I:$I,MOVIMIENTOS!$D:$D,"Aporte",MOVIMIENTOS!$E:$E,"Anual",MOVIMIENTOS!$J:$J,$C63,MOVIMIENTOS!$B:$B,"&gt;="&amp;DATE(2026,3,1),MOVIMIENTOS!$B:$B,"&lt;"&amp;DATE(2026,4,1)))</f>
        <v/>
      </c>
      <c r="F63" s="5" t="str">
        <f aca="false">IF($C63="","",SUMIFS(MOVIMIENTOS!$I:$I,MOVIMIENTOS!$D:$D,"Aporte",MOVIMIENTOS!$E:$E,"Anual",MOVIMIENTOS!$J:$J,$C63,MOVIMIENTOS!$B:$B,"&gt;="&amp;DATE(2026,4,1),MOVIMIENTOS!$B:$B,"&lt;"&amp;DATE(2026,5,1)))</f>
        <v/>
      </c>
      <c r="G63" s="5" t="str">
        <f aca="false">IF($C63="","",SUMIFS(MOVIMIENTOS!$I:$I,MOVIMIENTOS!$D:$D,"Aporte",MOVIMIENTOS!$E:$E,"Anual",MOVIMIENTOS!$J:$J,$C63,MOVIMIENTOS!$B:$B,"&gt;="&amp;DATE(2026,5,1),MOVIMIENTOS!$B:$B,"&lt;"&amp;DATE(2026,6,1)))</f>
        <v/>
      </c>
      <c r="H63" s="5" t="str">
        <f aca="false">IF($C63="","",SUMIFS(MOVIMIENTOS!$I:$I,MOVIMIENTOS!$D:$D,"Aporte",MOVIMIENTOS!$E:$E,"Anual",MOVIMIENTOS!$J:$J,$C63,MOVIMIENTOS!$B:$B,"&gt;="&amp;DATE(2026,6,1),MOVIMIENTOS!$B:$B,"&lt;"&amp;DATE(2026,7,1)))</f>
        <v/>
      </c>
      <c r="I63" s="5" t="str">
        <f aca="false">IF($C63="","",SUMIFS(MOVIMIENTOS!$I:$I,MOVIMIENTOS!$D:$D,"Aporte",MOVIMIENTOS!$E:$E,"Anual",MOVIMIENTOS!$J:$J,$C63,MOVIMIENTOS!$B:$B,"&gt;="&amp;DATE(2026,7,1),MOVIMIENTOS!$B:$B,"&lt;"&amp;DATE(2026,8,1)))</f>
        <v/>
      </c>
      <c r="J63" s="5" t="str">
        <f aca="false">IF($C63="","",SUMIFS(MOVIMIENTOS!$I:$I,MOVIMIENTOS!$D:$D,"Aporte",MOVIMIENTOS!$E:$E,"Anual",MOVIMIENTOS!$J:$J,$C63,MOVIMIENTOS!$B:$B,"&gt;="&amp;DATE(2026,8,1),MOVIMIENTOS!$B:$B,"&lt;"&amp;DATE(2026,9,1)))</f>
        <v/>
      </c>
      <c r="K63" s="5" t="str">
        <f aca="false">IF($C63="","",SUMIFS(MOVIMIENTOS!$I:$I,MOVIMIENTOS!$D:$D,"Aporte",MOVIMIENTOS!$E:$E,"Anual",MOVIMIENTOS!$J:$J,$C63,MOVIMIENTOS!$B:$B,"&gt;="&amp;DATE(2026,9,1),MOVIMIENTOS!$B:$B,"&lt;"&amp;DATE(2026,10,1)))</f>
        <v/>
      </c>
      <c r="L63" s="5" t="str">
        <f aca="false">IF($C63="","",SUMIFS(MOVIMIENTOS!$I:$I,MOVIMIENTOS!$D:$D,"Aporte",MOVIMIENTOS!$E:$E,"Anual",MOVIMIENTOS!$J:$J,$C63,MOVIMIENTOS!$B:$B,"&gt;="&amp;DATE(2026,10,1),MOVIMIENTOS!$B:$B,"&lt;"&amp;DATE(2026,11,1)))</f>
        <v/>
      </c>
      <c r="M63" s="5" t="str">
        <f aca="false">IF($C63="","",SUMIFS(MOVIMIENTOS!$I:$I,MOVIMIENTOS!$D:$D,"Aporte",MOVIMIENTOS!$E:$E,"Anual",MOVIMIENTOS!$J:$J,$C63,MOVIMIENTOS!$B:$B,"&gt;="&amp;DATE(2026,11,1),MOVIMIENTOS!$B:$B,"&lt;"&amp;DATE(2026,12,1)))</f>
        <v/>
      </c>
      <c r="N63" s="5" t="str">
        <f aca="false">IF($C63="","",SUMIFS(MOVIMIENTOS!$I:$I,MOVIMIENTOS!$D:$D,"Aporte",MOVIMIENTOS!$E:$E,"Anual",MOVIMIENTOS!$J:$J,$C63,MOVIMIENTOS!$B:$B,"&gt;="&amp;DATE(2026,12,1),MOVIMIENTOS!$B:$B,"&lt;"&amp;DATE(2026,13,1)))</f>
        <v/>
      </c>
      <c r="O63" s="5" t="str">
        <f aca="false">IF($C63="","",SUM(E63:N63))</f>
        <v/>
      </c>
      <c r="P63" s="5" t="str">
        <f aca="false">IF($C63="","",SUMIFS(MOVIMIENTOS!$I:$I,MOVIMIENTOS!$D:$D,"Aporte",MOVIMIENTOS!$E:$E,"Extraordinaria",MOVIMIENTOS!$F:$F,P$4,MOVIMIENTOS!$J:$J,$C63))</f>
        <v/>
      </c>
      <c r="Q63" s="5" t="str">
        <f aca="false">IF($C63="","",SUMIFS(MOVIMIENTOS!$I:$I,MOVIMIENTOS!$D:$D,"Aporte",MOVIMIENTOS!$E:$E,"Extraordinaria",MOVIMIENTOS!$F:$F,Q$4,MOVIMIENTOS!$J:$J,$C63))</f>
        <v/>
      </c>
      <c r="R63" s="5" t="str">
        <f aca="false">IF($C63="","",SUMIFS(MOVIMIENTOS!$I:$I,MOVIMIENTOS!$D:$D,"Aporte",MOVIMIENTOS!$E:$E,"Extraordinaria",MOVIMIENTOS!$F:$F,R$4,MOVIMIENTOS!$J:$J,$C63))</f>
        <v/>
      </c>
      <c r="S63" s="5" t="str">
        <f aca="false">IF($C63="","",SUMIFS(MOVIMIENTOS!$I:$I,MOVIMIENTOS!$D:$D,"Aporte",MOVIMIENTOS!$E:$E,"Extraordinaria",MOVIMIENTOS!$F:$F,S$4,MOVIMIENTOS!$J:$J,$C63))</f>
        <v/>
      </c>
      <c r="T63" s="5" t="str">
        <f aca="false">IF($C63="","",SUMIFS(MOVIMIENTOS!$I:$I,MOVIMIENTOS!$D:$D,"Aporte",MOVIMIENTOS!$E:$E,"Extraordinaria",MOVIMIENTOS!$F:$F,T$4,MOVIMIENTOS!$J:$J,$C63))</f>
        <v/>
      </c>
      <c r="U63" s="5" t="str">
        <f aca="false">IF($C63="","",SUMIFS(MOVIMIENTOS!$I:$I,MOVIMIENTOS!$D:$D,"Aporte",MOVIMIENTOS!$E:$E,"Extraordinaria",MOVIMIENTOS!$F:$F,U$4,MOVIMIENTOS!$J:$J,$C63))</f>
        <v/>
      </c>
      <c r="V63" s="5" t="str">
        <f aca="false">IF($C63="","",SUMIFS(MOVIMIENTOS!$I:$I,MOVIMIENTOS!$D:$D,"Aporte",MOVIMIENTOS!$E:$E,"Extraordinaria",MOVIMIENTOS!$F:$F,V$4,MOVIMIENTOS!$J:$J,$C63))</f>
        <v/>
      </c>
      <c r="W63" s="5" t="str">
        <f aca="false">IF($C63="","",SUM(P63:V63))</f>
        <v/>
      </c>
      <c r="X63" s="5" t="str">
        <f aca="false">IF($C63="","",O63+W63)</f>
        <v/>
      </c>
      <c r="Y63" s="12"/>
    </row>
    <row r="64" customFormat="false" ht="15" hidden="false" customHeight="false" outlineLevel="0" collapsed="false">
      <c r="A64" s="12"/>
      <c r="B64" s="12"/>
      <c r="C64" s="12"/>
      <c r="D64" s="12"/>
      <c r="E64" s="5" t="str">
        <f aca="false">IF($C64="","",SUMIFS(MOVIMIENTOS!$I:$I,MOVIMIENTOS!$D:$D,"Aporte",MOVIMIENTOS!$E:$E,"Anual",MOVIMIENTOS!$J:$J,$C64,MOVIMIENTOS!$B:$B,"&gt;="&amp;DATE(2026,3,1),MOVIMIENTOS!$B:$B,"&lt;"&amp;DATE(2026,4,1)))</f>
        <v/>
      </c>
      <c r="F64" s="5" t="str">
        <f aca="false">IF($C64="","",SUMIFS(MOVIMIENTOS!$I:$I,MOVIMIENTOS!$D:$D,"Aporte",MOVIMIENTOS!$E:$E,"Anual",MOVIMIENTOS!$J:$J,$C64,MOVIMIENTOS!$B:$B,"&gt;="&amp;DATE(2026,4,1),MOVIMIENTOS!$B:$B,"&lt;"&amp;DATE(2026,5,1)))</f>
        <v/>
      </c>
      <c r="G64" s="5" t="str">
        <f aca="false">IF($C64="","",SUMIFS(MOVIMIENTOS!$I:$I,MOVIMIENTOS!$D:$D,"Aporte",MOVIMIENTOS!$E:$E,"Anual",MOVIMIENTOS!$J:$J,$C64,MOVIMIENTOS!$B:$B,"&gt;="&amp;DATE(2026,5,1),MOVIMIENTOS!$B:$B,"&lt;"&amp;DATE(2026,6,1)))</f>
        <v/>
      </c>
      <c r="H64" s="5" t="str">
        <f aca="false">IF($C64="","",SUMIFS(MOVIMIENTOS!$I:$I,MOVIMIENTOS!$D:$D,"Aporte",MOVIMIENTOS!$E:$E,"Anual",MOVIMIENTOS!$J:$J,$C64,MOVIMIENTOS!$B:$B,"&gt;="&amp;DATE(2026,6,1),MOVIMIENTOS!$B:$B,"&lt;"&amp;DATE(2026,7,1)))</f>
        <v/>
      </c>
      <c r="I64" s="5" t="str">
        <f aca="false">IF($C64="","",SUMIFS(MOVIMIENTOS!$I:$I,MOVIMIENTOS!$D:$D,"Aporte",MOVIMIENTOS!$E:$E,"Anual",MOVIMIENTOS!$J:$J,$C64,MOVIMIENTOS!$B:$B,"&gt;="&amp;DATE(2026,7,1),MOVIMIENTOS!$B:$B,"&lt;"&amp;DATE(2026,8,1)))</f>
        <v/>
      </c>
      <c r="J64" s="5" t="str">
        <f aca="false">IF($C64="","",SUMIFS(MOVIMIENTOS!$I:$I,MOVIMIENTOS!$D:$D,"Aporte",MOVIMIENTOS!$E:$E,"Anual",MOVIMIENTOS!$J:$J,$C64,MOVIMIENTOS!$B:$B,"&gt;="&amp;DATE(2026,8,1),MOVIMIENTOS!$B:$B,"&lt;"&amp;DATE(2026,9,1)))</f>
        <v/>
      </c>
      <c r="K64" s="5" t="str">
        <f aca="false">IF($C64="","",SUMIFS(MOVIMIENTOS!$I:$I,MOVIMIENTOS!$D:$D,"Aporte",MOVIMIENTOS!$E:$E,"Anual",MOVIMIENTOS!$J:$J,$C64,MOVIMIENTOS!$B:$B,"&gt;="&amp;DATE(2026,9,1),MOVIMIENTOS!$B:$B,"&lt;"&amp;DATE(2026,10,1)))</f>
        <v/>
      </c>
      <c r="L64" s="5" t="str">
        <f aca="false">IF($C64="","",SUMIFS(MOVIMIENTOS!$I:$I,MOVIMIENTOS!$D:$D,"Aporte",MOVIMIENTOS!$E:$E,"Anual",MOVIMIENTOS!$J:$J,$C64,MOVIMIENTOS!$B:$B,"&gt;="&amp;DATE(2026,10,1),MOVIMIENTOS!$B:$B,"&lt;"&amp;DATE(2026,11,1)))</f>
        <v/>
      </c>
      <c r="M64" s="5" t="str">
        <f aca="false">IF($C64="","",SUMIFS(MOVIMIENTOS!$I:$I,MOVIMIENTOS!$D:$D,"Aporte",MOVIMIENTOS!$E:$E,"Anual",MOVIMIENTOS!$J:$J,$C64,MOVIMIENTOS!$B:$B,"&gt;="&amp;DATE(2026,11,1),MOVIMIENTOS!$B:$B,"&lt;"&amp;DATE(2026,12,1)))</f>
        <v/>
      </c>
      <c r="N64" s="5" t="str">
        <f aca="false">IF($C64="","",SUMIFS(MOVIMIENTOS!$I:$I,MOVIMIENTOS!$D:$D,"Aporte",MOVIMIENTOS!$E:$E,"Anual",MOVIMIENTOS!$J:$J,$C64,MOVIMIENTOS!$B:$B,"&gt;="&amp;DATE(2026,12,1),MOVIMIENTOS!$B:$B,"&lt;"&amp;DATE(2026,13,1)))</f>
        <v/>
      </c>
      <c r="O64" s="5" t="str">
        <f aca="false">IF($C64="","",SUM(E64:N64))</f>
        <v/>
      </c>
      <c r="P64" s="5" t="str">
        <f aca="false">IF($C64="","",SUMIFS(MOVIMIENTOS!$I:$I,MOVIMIENTOS!$D:$D,"Aporte",MOVIMIENTOS!$E:$E,"Extraordinaria",MOVIMIENTOS!$F:$F,P$4,MOVIMIENTOS!$J:$J,$C64))</f>
        <v/>
      </c>
      <c r="Q64" s="5" t="str">
        <f aca="false">IF($C64="","",SUMIFS(MOVIMIENTOS!$I:$I,MOVIMIENTOS!$D:$D,"Aporte",MOVIMIENTOS!$E:$E,"Extraordinaria",MOVIMIENTOS!$F:$F,Q$4,MOVIMIENTOS!$J:$J,$C64))</f>
        <v/>
      </c>
      <c r="R64" s="5" t="str">
        <f aca="false">IF($C64="","",SUMIFS(MOVIMIENTOS!$I:$I,MOVIMIENTOS!$D:$D,"Aporte",MOVIMIENTOS!$E:$E,"Extraordinaria",MOVIMIENTOS!$F:$F,R$4,MOVIMIENTOS!$J:$J,$C64))</f>
        <v/>
      </c>
      <c r="S64" s="5" t="str">
        <f aca="false">IF($C64="","",SUMIFS(MOVIMIENTOS!$I:$I,MOVIMIENTOS!$D:$D,"Aporte",MOVIMIENTOS!$E:$E,"Extraordinaria",MOVIMIENTOS!$F:$F,S$4,MOVIMIENTOS!$J:$J,$C64))</f>
        <v/>
      </c>
      <c r="T64" s="5" t="str">
        <f aca="false">IF($C64="","",SUMIFS(MOVIMIENTOS!$I:$I,MOVIMIENTOS!$D:$D,"Aporte",MOVIMIENTOS!$E:$E,"Extraordinaria",MOVIMIENTOS!$F:$F,T$4,MOVIMIENTOS!$J:$J,$C64))</f>
        <v/>
      </c>
      <c r="U64" s="5" t="str">
        <f aca="false">IF($C64="","",SUMIFS(MOVIMIENTOS!$I:$I,MOVIMIENTOS!$D:$D,"Aporte",MOVIMIENTOS!$E:$E,"Extraordinaria",MOVIMIENTOS!$F:$F,U$4,MOVIMIENTOS!$J:$J,$C64))</f>
        <v/>
      </c>
      <c r="V64" s="5" t="str">
        <f aca="false">IF($C64="","",SUMIFS(MOVIMIENTOS!$I:$I,MOVIMIENTOS!$D:$D,"Aporte",MOVIMIENTOS!$E:$E,"Extraordinaria",MOVIMIENTOS!$F:$F,V$4,MOVIMIENTOS!$J:$J,$C64))</f>
        <v/>
      </c>
      <c r="W64" s="5" t="str">
        <f aca="false">IF($C64="","",SUM(P64:V64))</f>
        <v/>
      </c>
      <c r="X64" s="5" t="str">
        <f aca="false">IF($C64="","",O64+W64)</f>
        <v/>
      </c>
      <c r="Y64" s="12"/>
    </row>
    <row r="65" customFormat="false" ht="15" hidden="false" customHeight="false" outlineLevel="0" collapsed="false">
      <c r="A65" s="12"/>
      <c r="B65" s="12"/>
      <c r="C65" s="12"/>
      <c r="D65" s="12"/>
      <c r="E65" s="5" t="str">
        <f aca="false">IF($C65="","",SUMIFS(MOVIMIENTOS!$I:$I,MOVIMIENTOS!$D:$D,"Aporte",MOVIMIENTOS!$E:$E,"Anual",MOVIMIENTOS!$J:$J,$C65,MOVIMIENTOS!$B:$B,"&gt;="&amp;DATE(2026,3,1),MOVIMIENTOS!$B:$B,"&lt;"&amp;DATE(2026,4,1)))</f>
        <v/>
      </c>
      <c r="F65" s="5" t="str">
        <f aca="false">IF($C65="","",SUMIFS(MOVIMIENTOS!$I:$I,MOVIMIENTOS!$D:$D,"Aporte",MOVIMIENTOS!$E:$E,"Anual",MOVIMIENTOS!$J:$J,$C65,MOVIMIENTOS!$B:$B,"&gt;="&amp;DATE(2026,4,1),MOVIMIENTOS!$B:$B,"&lt;"&amp;DATE(2026,5,1)))</f>
        <v/>
      </c>
      <c r="G65" s="5" t="str">
        <f aca="false">IF($C65="","",SUMIFS(MOVIMIENTOS!$I:$I,MOVIMIENTOS!$D:$D,"Aporte",MOVIMIENTOS!$E:$E,"Anual",MOVIMIENTOS!$J:$J,$C65,MOVIMIENTOS!$B:$B,"&gt;="&amp;DATE(2026,5,1),MOVIMIENTOS!$B:$B,"&lt;"&amp;DATE(2026,6,1)))</f>
        <v/>
      </c>
      <c r="H65" s="5" t="str">
        <f aca="false">IF($C65="","",SUMIFS(MOVIMIENTOS!$I:$I,MOVIMIENTOS!$D:$D,"Aporte",MOVIMIENTOS!$E:$E,"Anual",MOVIMIENTOS!$J:$J,$C65,MOVIMIENTOS!$B:$B,"&gt;="&amp;DATE(2026,6,1),MOVIMIENTOS!$B:$B,"&lt;"&amp;DATE(2026,7,1)))</f>
        <v/>
      </c>
      <c r="I65" s="5" t="str">
        <f aca="false">IF($C65="","",SUMIFS(MOVIMIENTOS!$I:$I,MOVIMIENTOS!$D:$D,"Aporte",MOVIMIENTOS!$E:$E,"Anual",MOVIMIENTOS!$J:$J,$C65,MOVIMIENTOS!$B:$B,"&gt;="&amp;DATE(2026,7,1),MOVIMIENTOS!$B:$B,"&lt;"&amp;DATE(2026,8,1)))</f>
        <v/>
      </c>
      <c r="J65" s="5" t="str">
        <f aca="false">IF($C65="","",SUMIFS(MOVIMIENTOS!$I:$I,MOVIMIENTOS!$D:$D,"Aporte",MOVIMIENTOS!$E:$E,"Anual",MOVIMIENTOS!$J:$J,$C65,MOVIMIENTOS!$B:$B,"&gt;="&amp;DATE(2026,8,1),MOVIMIENTOS!$B:$B,"&lt;"&amp;DATE(2026,9,1)))</f>
        <v/>
      </c>
      <c r="K65" s="5" t="str">
        <f aca="false">IF($C65="","",SUMIFS(MOVIMIENTOS!$I:$I,MOVIMIENTOS!$D:$D,"Aporte",MOVIMIENTOS!$E:$E,"Anual",MOVIMIENTOS!$J:$J,$C65,MOVIMIENTOS!$B:$B,"&gt;="&amp;DATE(2026,9,1),MOVIMIENTOS!$B:$B,"&lt;"&amp;DATE(2026,10,1)))</f>
        <v/>
      </c>
      <c r="L65" s="5" t="str">
        <f aca="false">IF($C65="","",SUMIFS(MOVIMIENTOS!$I:$I,MOVIMIENTOS!$D:$D,"Aporte",MOVIMIENTOS!$E:$E,"Anual",MOVIMIENTOS!$J:$J,$C65,MOVIMIENTOS!$B:$B,"&gt;="&amp;DATE(2026,10,1),MOVIMIENTOS!$B:$B,"&lt;"&amp;DATE(2026,11,1)))</f>
        <v/>
      </c>
      <c r="M65" s="5" t="str">
        <f aca="false">IF($C65="","",SUMIFS(MOVIMIENTOS!$I:$I,MOVIMIENTOS!$D:$D,"Aporte",MOVIMIENTOS!$E:$E,"Anual",MOVIMIENTOS!$J:$J,$C65,MOVIMIENTOS!$B:$B,"&gt;="&amp;DATE(2026,11,1),MOVIMIENTOS!$B:$B,"&lt;"&amp;DATE(2026,12,1)))</f>
        <v/>
      </c>
      <c r="N65" s="5" t="str">
        <f aca="false">IF($C65="","",SUMIFS(MOVIMIENTOS!$I:$I,MOVIMIENTOS!$D:$D,"Aporte",MOVIMIENTOS!$E:$E,"Anual",MOVIMIENTOS!$J:$J,$C65,MOVIMIENTOS!$B:$B,"&gt;="&amp;DATE(2026,12,1),MOVIMIENTOS!$B:$B,"&lt;"&amp;DATE(2026,13,1)))</f>
        <v/>
      </c>
      <c r="O65" s="5" t="str">
        <f aca="false">IF($C65="","",SUM(E65:N65))</f>
        <v/>
      </c>
      <c r="P65" s="5" t="str">
        <f aca="false">IF($C65="","",SUMIFS(MOVIMIENTOS!$I:$I,MOVIMIENTOS!$D:$D,"Aporte",MOVIMIENTOS!$E:$E,"Extraordinaria",MOVIMIENTOS!$F:$F,P$4,MOVIMIENTOS!$J:$J,$C65))</f>
        <v/>
      </c>
      <c r="Q65" s="5" t="str">
        <f aca="false">IF($C65="","",SUMIFS(MOVIMIENTOS!$I:$I,MOVIMIENTOS!$D:$D,"Aporte",MOVIMIENTOS!$E:$E,"Extraordinaria",MOVIMIENTOS!$F:$F,Q$4,MOVIMIENTOS!$J:$J,$C65))</f>
        <v/>
      </c>
      <c r="R65" s="5" t="str">
        <f aca="false">IF($C65="","",SUMIFS(MOVIMIENTOS!$I:$I,MOVIMIENTOS!$D:$D,"Aporte",MOVIMIENTOS!$E:$E,"Extraordinaria",MOVIMIENTOS!$F:$F,R$4,MOVIMIENTOS!$J:$J,$C65))</f>
        <v/>
      </c>
      <c r="S65" s="5" t="str">
        <f aca="false">IF($C65="","",SUMIFS(MOVIMIENTOS!$I:$I,MOVIMIENTOS!$D:$D,"Aporte",MOVIMIENTOS!$E:$E,"Extraordinaria",MOVIMIENTOS!$F:$F,S$4,MOVIMIENTOS!$J:$J,$C65))</f>
        <v/>
      </c>
      <c r="T65" s="5" t="str">
        <f aca="false">IF($C65="","",SUMIFS(MOVIMIENTOS!$I:$I,MOVIMIENTOS!$D:$D,"Aporte",MOVIMIENTOS!$E:$E,"Extraordinaria",MOVIMIENTOS!$F:$F,T$4,MOVIMIENTOS!$J:$J,$C65))</f>
        <v/>
      </c>
      <c r="U65" s="5" t="str">
        <f aca="false">IF($C65="","",SUMIFS(MOVIMIENTOS!$I:$I,MOVIMIENTOS!$D:$D,"Aporte",MOVIMIENTOS!$E:$E,"Extraordinaria",MOVIMIENTOS!$F:$F,U$4,MOVIMIENTOS!$J:$J,$C65))</f>
        <v/>
      </c>
      <c r="V65" s="5" t="str">
        <f aca="false">IF($C65="","",SUMIFS(MOVIMIENTOS!$I:$I,MOVIMIENTOS!$D:$D,"Aporte",MOVIMIENTOS!$E:$E,"Extraordinaria",MOVIMIENTOS!$F:$F,V$4,MOVIMIENTOS!$J:$J,$C65))</f>
        <v/>
      </c>
      <c r="W65" s="5" t="str">
        <f aca="false">IF($C65="","",SUM(P65:V65))</f>
        <v/>
      </c>
      <c r="X65" s="5" t="str">
        <f aca="false">IF($C65="","",O65+W65)</f>
        <v/>
      </c>
      <c r="Y65" s="12"/>
    </row>
    <row r="66" customFormat="false" ht="15" hidden="false" customHeight="false" outlineLevel="0" collapsed="false">
      <c r="A66" s="12"/>
      <c r="B66" s="12"/>
      <c r="C66" s="12"/>
      <c r="D66" s="12"/>
      <c r="E66" s="5" t="str">
        <f aca="false">IF($C66="","",SUMIFS(MOVIMIENTOS!$I:$I,MOVIMIENTOS!$D:$D,"Aporte",MOVIMIENTOS!$E:$E,"Anual",MOVIMIENTOS!$J:$J,$C66,MOVIMIENTOS!$B:$B,"&gt;="&amp;DATE(2026,3,1),MOVIMIENTOS!$B:$B,"&lt;"&amp;DATE(2026,4,1)))</f>
        <v/>
      </c>
      <c r="F66" s="5" t="str">
        <f aca="false">IF($C66="","",SUMIFS(MOVIMIENTOS!$I:$I,MOVIMIENTOS!$D:$D,"Aporte",MOVIMIENTOS!$E:$E,"Anual",MOVIMIENTOS!$J:$J,$C66,MOVIMIENTOS!$B:$B,"&gt;="&amp;DATE(2026,4,1),MOVIMIENTOS!$B:$B,"&lt;"&amp;DATE(2026,5,1)))</f>
        <v/>
      </c>
      <c r="G66" s="5" t="str">
        <f aca="false">IF($C66="","",SUMIFS(MOVIMIENTOS!$I:$I,MOVIMIENTOS!$D:$D,"Aporte",MOVIMIENTOS!$E:$E,"Anual",MOVIMIENTOS!$J:$J,$C66,MOVIMIENTOS!$B:$B,"&gt;="&amp;DATE(2026,5,1),MOVIMIENTOS!$B:$B,"&lt;"&amp;DATE(2026,6,1)))</f>
        <v/>
      </c>
      <c r="H66" s="5" t="str">
        <f aca="false">IF($C66="","",SUMIFS(MOVIMIENTOS!$I:$I,MOVIMIENTOS!$D:$D,"Aporte",MOVIMIENTOS!$E:$E,"Anual",MOVIMIENTOS!$J:$J,$C66,MOVIMIENTOS!$B:$B,"&gt;="&amp;DATE(2026,6,1),MOVIMIENTOS!$B:$B,"&lt;"&amp;DATE(2026,7,1)))</f>
        <v/>
      </c>
      <c r="I66" s="5" t="str">
        <f aca="false">IF($C66="","",SUMIFS(MOVIMIENTOS!$I:$I,MOVIMIENTOS!$D:$D,"Aporte",MOVIMIENTOS!$E:$E,"Anual",MOVIMIENTOS!$J:$J,$C66,MOVIMIENTOS!$B:$B,"&gt;="&amp;DATE(2026,7,1),MOVIMIENTOS!$B:$B,"&lt;"&amp;DATE(2026,8,1)))</f>
        <v/>
      </c>
      <c r="J66" s="5" t="str">
        <f aca="false">IF($C66="","",SUMIFS(MOVIMIENTOS!$I:$I,MOVIMIENTOS!$D:$D,"Aporte",MOVIMIENTOS!$E:$E,"Anual",MOVIMIENTOS!$J:$J,$C66,MOVIMIENTOS!$B:$B,"&gt;="&amp;DATE(2026,8,1),MOVIMIENTOS!$B:$B,"&lt;"&amp;DATE(2026,9,1)))</f>
        <v/>
      </c>
      <c r="K66" s="5" t="str">
        <f aca="false">IF($C66="","",SUMIFS(MOVIMIENTOS!$I:$I,MOVIMIENTOS!$D:$D,"Aporte",MOVIMIENTOS!$E:$E,"Anual",MOVIMIENTOS!$J:$J,$C66,MOVIMIENTOS!$B:$B,"&gt;="&amp;DATE(2026,9,1),MOVIMIENTOS!$B:$B,"&lt;"&amp;DATE(2026,10,1)))</f>
        <v/>
      </c>
      <c r="L66" s="5" t="str">
        <f aca="false">IF($C66="","",SUMIFS(MOVIMIENTOS!$I:$I,MOVIMIENTOS!$D:$D,"Aporte",MOVIMIENTOS!$E:$E,"Anual",MOVIMIENTOS!$J:$J,$C66,MOVIMIENTOS!$B:$B,"&gt;="&amp;DATE(2026,10,1),MOVIMIENTOS!$B:$B,"&lt;"&amp;DATE(2026,11,1)))</f>
        <v/>
      </c>
      <c r="M66" s="5" t="str">
        <f aca="false">IF($C66="","",SUMIFS(MOVIMIENTOS!$I:$I,MOVIMIENTOS!$D:$D,"Aporte",MOVIMIENTOS!$E:$E,"Anual",MOVIMIENTOS!$J:$J,$C66,MOVIMIENTOS!$B:$B,"&gt;="&amp;DATE(2026,11,1),MOVIMIENTOS!$B:$B,"&lt;"&amp;DATE(2026,12,1)))</f>
        <v/>
      </c>
      <c r="N66" s="5" t="str">
        <f aca="false">IF($C66="","",SUMIFS(MOVIMIENTOS!$I:$I,MOVIMIENTOS!$D:$D,"Aporte",MOVIMIENTOS!$E:$E,"Anual",MOVIMIENTOS!$J:$J,$C66,MOVIMIENTOS!$B:$B,"&gt;="&amp;DATE(2026,12,1),MOVIMIENTOS!$B:$B,"&lt;"&amp;DATE(2026,13,1)))</f>
        <v/>
      </c>
      <c r="O66" s="5" t="str">
        <f aca="false">IF($C66="","",SUM(E66:N66))</f>
        <v/>
      </c>
      <c r="P66" s="5" t="str">
        <f aca="false">IF($C66="","",SUMIFS(MOVIMIENTOS!$I:$I,MOVIMIENTOS!$D:$D,"Aporte",MOVIMIENTOS!$E:$E,"Extraordinaria",MOVIMIENTOS!$F:$F,P$4,MOVIMIENTOS!$J:$J,$C66))</f>
        <v/>
      </c>
      <c r="Q66" s="5" t="str">
        <f aca="false">IF($C66="","",SUMIFS(MOVIMIENTOS!$I:$I,MOVIMIENTOS!$D:$D,"Aporte",MOVIMIENTOS!$E:$E,"Extraordinaria",MOVIMIENTOS!$F:$F,Q$4,MOVIMIENTOS!$J:$J,$C66))</f>
        <v/>
      </c>
      <c r="R66" s="5" t="str">
        <f aca="false">IF($C66="","",SUMIFS(MOVIMIENTOS!$I:$I,MOVIMIENTOS!$D:$D,"Aporte",MOVIMIENTOS!$E:$E,"Extraordinaria",MOVIMIENTOS!$F:$F,R$4,MOVIMIENTOS!$J:$J,$C66))</f>
        <v/>
      </c>
      <c r="S66" s="5" t="str">
        <f aca="false">IF($C66="","",SUMIFS(MOVIMIENTOS!$I:$I,MOVIMIENTOS!$D:$D,"Aporte",MOVIMIENTOS!$E:$E,"Extraordinaria",MOVIMIENTOS!$F:$F,S$4,MOVIMIENTOS!$J:$J,$C66))</f>
        <v/>
      </c>
      <c r="T66" s="5" t="str">
        <f aca="false">IF($C66="","",SUMIFS(MOVIMIENTOS!$I:$I,MOVIMIENTOS!$D:$D,"Aporte",MOVIMIENTOS!$E:$E,"Extraordinaria",MOVIMIENTOS!$F:$F,T$4,MOVIMIENTOS!$J:$J,$C66))</f>
        <v/>
      </c>
      <c r="U66" s="5" t="str">
        <f aca="false">IF($C66="","",SUMIFS(MOVIMIENTOS!$I:$I,MOVIMIENTOS!$D:$D,"Aporte",MOVIMIENTOS!$E:$E,"Extraordinaria",MOVIMIENTOS!$F:$F,U$4,MOVIMIENTOS!$J:$J,$C66))</f>
        <v/>
      </c>
      <c r="V66" s="5" t="str">
        <f aca="false">IF($C66="","",SUMIFS(MOVIMIENTOS!$I:$I,MOVIMIENTOS!$D:$D,"Aporte",MOVIMIENTOS!$E:$E,"Extraordinaria",MOVIMIENTOS!$F:$F,V$4,MOVIMIENTOS!$J:$J,$C66))</f>
        <v/>
      </c>
      <c r="W66" s="5" t="str">
        <f aca="false">IF($C66="","",SUM(P66:V66))</f>
        <v/>
      </c>
      <c r="X66" s="5" t="str">
        <f aca="false">IF($C66="","",O66+W66)</f>
        <v/>
      </c>
      <c r="Y66" s="12"/>
    </row>
    <row r="67" customFormat="false" ht="15" hidden="false" customHeight="false" outlineLevel="0" collapsed="false">
      <c r="A67" s="12"/>
      <c r="B67" s="12"/>
      <c r="C67" s="12"/>
      <c r="D67" s="12"/>
      <c r="E67" s="5" t="str">
        <f aca="false">IF($C67="","",SUMIFS(MOVIMIENTOS!$I:$I,MOVIMIENTOS!$D:$D,"Aporte",MOVIMIENTOS!$E:$E,"Anual",MOVIMIENTOS!$J:$J,$C67,MOVIMIENTOS!$B:$B,"&gt;="&amp;DATE(2026,3,1),MOVIMIENTOS!$B:$B,"&lt;"&amp;DATE(2026,4,1)))</f>
        <v/>
      </c>
      <c r="F67" s="5" t="str">
        <f aca="false">IF($C67="","",SUMIFS(MOVIMIENTOS!$I:$I,MOVIMIENTOS!$D:$D,"Aporte",MOVIMIENTOS!$E:$E,"Anual",MOVIMIENTOS!$J:$J,$C67,MOVIMIENTOS!$B:$B,"&gt;="&amp;DATE(2026,4,1),MOVIMIENTOS!$B:$B,"&lt;"&amp;DATE(2026,5,1)))</f>
        <v/>
      </c>
      <c r="G67" s="5" t="str">
        <f aca="false">IF($C67="","",SUMIFS(MOVIMIENTOS!$I:$I,MOVIMIENTOS!$D:$D,"Aporte",MOVIMIENTOS!$E:$E,"Anual",MOVIMIENTOS!$J:$J,$C67,MOVIMIENTOS!$B:$B,"&gt;="&amp;DATE(2026,5,1),MOVIMIENTOS!$B:$B,"&lt;"&amp;DATE(2026,6,1)))</f>
        <v/>
      </c>
      <c r="H67" s="5" t="str">
        <f aca="false">IF($C67="","",SUMIFS(MOVIMIENTOS!$I:$I,MOVIMIENTOS!$D:$D,"Aporte",MOVIMIENTOS!$E:$E,"Anual",MOVIMIENTOS!$J:$J,$C67,MOVIMIENTOS!$B:$B,"&gt;="&amp;DATE(2026,6,1),MOVIMIENTOS!$B:$B,"&lt;"&amp;DATE(2026,7,1)))</f>
        <v/>
      </c>
      <c r="I67" s="5" t="str">
        <f aca="false">IF($C67="","",SUMIFS(MOVIMIENTOS!$I:$I,MOVIMIENTOS!$D:$D,"Aporte",MOVIMIENTOS!$E:$E,"Anual",MOVIMIENTOS!$J:$J,$C67,MOVIMIENTOS!$B:$B,"&gt;="&amp;DATE(2026,7,1),MOVIMIENTOS!$B:$B,"&lt;"&amp;DATE(2026,8,1)))</f>
        <v/>
      </c>
      <c r="J67" s="5" t="str">
        <f aca="false">IF($C67="","",SUMIFS(MOVIMIENTOS!$I:$I,MOVIMIENTOS!$D:$D,"Aporte",MOVIMIENTOS!$E:$E,"Anual",MOVIMIENTOS!$J:$J,$C67,MOVIMIENTOS!$B:$B,"&gt;="&amp;DATE(2026,8,1),MOVIMIENTOS!$B:$B,"&lt;"&amp;DATE(2026,9,1)))</f>
        <v/>
      </c>
      <c r="K67" s="5" t="str">
        <f aca="false">IF($C67="","",SUMIFS(MOVIMIENTOS!$I:$I,MOVIMIENTOS!$D:$D,"Aporte",MOVIMIENTOS!$E:$E,"Anual",MOVIMIENTOS!$J:$J,$C67,MOVIMIENTOS!$B:$B,"&gt;="&amp;DATE(2026,9,1),MOVIMIENTOS!$B:$B,"&lt;"&amp;DATE(2026,10,1)))</f>
        <v/>
      </c>
      <c r="L67" s="5" t="str">
        <f aca="false">IF($C67="","",SUMIFS(MOVIMIENTOS!$I:$I,MOVIMIENTOS!$D:$D,"Aporte",MOVIMIENTOS!$E:$E,"Anual",MOVIMIENTOS!$J:$J,$C67,MOVIMIENTOS!$B:$B,"&gt;="&amp;DATE(2026,10,1),MOVIMIENTOS!$B:$B,"&lt;"&amp;DATE(2026,11,1)))</f>
        <v/>
      </c>
      <c r="M67" s="5" t="str">
        <f aca="false">IF($C67="","",SUMIFS(MOVIMIENTOS!$I:$I,MOVIMIENTOS!$D:$D,"Aporte",MOVIMIENTOS!$E:$E,"Anual",MOVIMIENTOS!$J:$J,$C67,MOVIMIENTOS!$B:$B,"&gt;="&amp;DATE(2026,11,1),MOVIMIENTOS!$B:$B,"&lt;"&amp;DATE(2026,12,1)))</f>
        <v/>
      </c>
      <c r="N67" s="5" t="str">
        <f aca="false">IF($C67="","",SUMIFS(MOVIMIENTOS!$I:$I,MOVIMIENTOS!$D:$D,"Aporte",MOVIMIENTOS!$E:$E,"Anual",MOVIMIENTOS!$J:$J,$C67,MOVIMIENTOS!$B:$B,"&gt;="&amp;DATE(2026,12,1),MOVIMIENTOS!$B:$B,"&lt;"&amp;DATE(2026,13,1)))</f>
        <v/>
      </c>
      <c r="O67" s="5" t="str">
        <f aca="false">IF($C67="","",SUM(E67:N67))</f>
        <v/>
      </c>
      <c r="P67" s="5" t="str">
        <f aca="false">IF($C67="","",SUMIFS(MOVIMIENTOS!$I:$I,MOVIMIENTOS!$D:$D,"Aporte",MOVIMIENTOS!$E:$E,"Extraordinaria",MOVIMIENTOS!$F:$F,P$4,MOVIMIENTOS!$J:$J,$C67))</f>
        <v/>
      </c>
      <c r="Q67" s="5" t="str">
        <f aca="false">IF($C67="","",SUMIFS(MOVIMIENTOS!$I:$I,MOVIMIENTOS!$D:$D,"Aporte",MOVIMIENTOS!$E:$E,"Extraordinaria",MOVIMIENTOS!$F:$F,Q$4,MOVIMIENTOS!$J:$J,$C67))</f>
        <v/>
      </c>
      <c r="R67" s="5" t="str">
        <f aca="false">IF($C67="","",SUMIFS(MOVIMIENTOS!$I:$I,MOVIMIENTOS!$D:$D,"Aporte",MOVIMIENTOS!$E:$E,"Extraordinaria",MOVIMIENTOS!$F:$F,R$4,MOVIMIENTOS!$J:$J,$C67))</f>
        <v/>
      </c>
      <c r="S67" s="5" t="str">
        <f aca="false">IF($C67="","",SUMIFS(MOVIMIENTOS!$I:$I,MOVIMIENTOS!$D:$D,"Aporte",MOVIMIENTOS!$E:$E,"Extraordinaria",MOVIMIENTOS!$F:$F,S$4,MOVIMIENTOS!$J:$J,$C67))</f>
        <v/>
      </c>
      <c r="T67" s="5" t="str">
        <f aca="false">IF($C67="","",SUMIFS(MOVIMIENTOS!$I:$I,MOVIMIENTOS!$D:$D,"Aporte",MOVIMIENTOS!$E:$E,"Extraordinaria",MOVIMIENTOS!$F:$F,T$4,MOVIMIENTOS!$J:$J,$C67))</f>
        <v/>
      </c>
      <c r="U67" s="5" t="str">
        <f aca="false">IF($C67="","",SUMIFS(MOVIMIENTOS!$I:$I,MOVIMIENTOS!$D:$D,"Aporte",MOVIMIENTOS!$E:$E,"Extraordinaria",MOVIMIENTOS!$F:$F,U$4,MOVIMIENTOS!$J:$J,$C67))</f>
        <v/>
      </c>
      <c r="V67" s="5" t="str">
        <f aca="false">IF($C67="","",SUMIFS(MOVIMIENTOS!$I:$I,MOVIMIENTOS!$D:$D,"Aporte",MOVIMIENTOS!$E:$E,"Extraordinaria",MOVIMIENTOS!$F:$F,V$4,MOVIMIENTOS!$J:$J,$C67))</f>
        <v/>
      </c>
      <c r="W67" s="5" t="str">
        <f aca="false">IF($C67="","",SUM(P67:V67))</f>
        <v/>
      </c>
      <c r="X67" s="5" t="str">
        <f aca="false">IF($C67="","",O67+W67)</f>
        <v/>
      </c>
      <c r="Y67" s="12"/>
    </row>
    <row r="68" customFormat="false" ht="15" hidden="false" customHeight="false" outlineLevel="0" collapsed="false">
      <c r="A68" s="12"/>
      <c r="B68" s="12"/>
      <c r="C68" s="12"/>
      <c r="D68" s="12"/>
      <c r="E68" s="5" t="str">
        <f aca="false">IF($C68="","",SUMIFS(MOVIMIENTOS!$I:$I,MOVIMIENTOS!$D:$D,"Aporte",MOVIMIENTOS!$E:$E,"Anual",MOVIMIENTOS!$J:$J,$C68,MOVIMIENTOS!$B:$B,"&gt;="&amp;DATE(2026,3,1),MOVIMIENTOS!$B:$B,"&lt;"&amp;DATE(2026,4,1)))</f>
        <v/>
      </c>
      <c r="F68" s="5" t="str">
        <f aca="false">IF($C68="","",SUMIFS(MOVIMIENTOS!$I:$I,MOVIMIENTOS!$D:$D,"Aporte",MOVIMIENTOS!$E:$E,"Anual",MOVIMIENTOS!$J:$J,$C68,MOVIMIENTOS!$B:$B,"&gt;="&amp;DATE(2026,4,1),MOVIMIENTOS!$B:$B,"&lt;"&amp;DATE(2026,5,1)))</f>
        <v/>
      </c>
      <c r="G68" s="5" t="str">
        <f aca="false">IF($C68="","",SUMIFS(MOVIMIENTOS!$I:$I,MOVIMIENTOS!$D:$D,"Aporte",MOVIMIENTOS!$E:$E,"Anual",MOVIMIENTOS!$J:$J,$C68,MOVIMIENTOS!$B:$B,"&gt;="&amp;DATE(2026,5,1),MOVIMIENTOS!$B:$B,"&lt;"&amp;DATE(2026,6,1)))</f>
        <v/>
      </c>
      <c r="H68" s="5" t="str">
        <f aca="false">IF($C68="","",SUMIFS(MOVIMIENTOS!$I:$I,MOVIMIENTOS!$D:$D,"Aporte",MOVIMIENTOS!$E:$E,"Anual",MOVIMIENTOS!$J:$J,$C68,MOVIMIENTOS!$B:$B,"&gt;="&amp;DATE(2026,6,1),MOVIMIENTOS!$B:$B,"&lt;"&amp;DATE(2026,7,1)))</f>
        <v/>
      </c>
      <c r="I68" s="5" t="str">
        <f aca="false">IF($C68="","",SUMIFS(MOVIMIENTOS!$I:$I,MOVIMIENTOS!$D:$D,"Aporte",MOVIMIENTOS!$E:$E,"Anual",MOVIMIENTOS!$J:$J,$C68,MOVIMIENTOS!$B:$B,"&gt;="&amp;DATE(2026,7,1),MOVIMIENTOS!$B:$B,"&lt;"&amp;DATE(2026,8,1)))</f>
        <v/>
      </c>
      <c r="J68" s="5" t="str">
        <f aca="false">IF($C68="","",SUMIFS(MOVIMIENTOS!$I:$I,MOVIMIENTOS!$D:$D,"Aporte",MOVIMIENTOS!$E:$E,"Anual",MOVIMIENTOS!$J:$J,$C68,MOVIMIENTOS!$B:$B,"&gt;="&amp;DATE(2026,8,1),MOVIMIENTOS!$B:$B,"&lt;"&amp;DATE(2026,9,1)))</f>
        <v/>
      </c>
      <c r="K68" s="5" t="str">
        <f aca="false">IF($C68="","",SUMIFS(MOVIMIENTOS!$I:$I,MOVIMIENTOS!$D:$D,"Aporte",MOVIMIENTOS!$E:$E,"Anual",MOVIMIENTOS!$J:$J,$C68,MOVIMIENTOS!$B:$B,"&gt;="&amp;DATE(2026,9,1),MOVIMIENTOS!$B:$B,"&lt;"&amp;DATE(2026,10,1)))</f>
        <v/>
      </c>
      <c r="L68" s="5" t="str">
        <f aca="false">IF($C68="","",SUMIFS(MOVIMIENTOS!$I:$I,MOVIMIENTOS!$D:$D,"Aporte",MOVIMIENTOS!$E:$E,"Anual",MOVIMIENTOS!$J:$J,$C68,MOVIMIENTOS!$B:$B,"&gt;="&amp;DATE(2026,10,1),MOVIMIENTOS!$B:$B,"&lt;"&amp;DATE(2026,11,1)))</f>
        <v/>
      </c>
      <c r="M68" s="5" t="str">
        <f aca="false">IF($C68="","",SUMIFS(MOVIMIENTOS!$I:$I,MOVIMIENTOS!$D:$D,"Aporte",MOVIMIENTOS!$E:$E,"Anual",MOVIMIENTOS!$J:$J,$C68,MOVIMIENTOS!$B:$B,"&gt;="&amp;DATE(2026,11,1),MOVIMIENTOS!$B:$B,"&lt;"&amp;DATE(2026,12,1)))</f>
        <v/>
      </c>
      <c r="N68" s="5" t="str">
        <f aca="false">IF($C68="","",SUMIFS(MOVIMIENTOS!$I:$I,MOVIMIENTOS!$D:$D,"Aporte",MOVIMIENTOS!$E:$E,"Anual",MOVIMIENTOS!$J:$J,$C68,MOVIMIENTOS!$B:$B,"&gt;="&amp;DATE(2026,12,1),MOVIMIENTOS!$B:$B,"&lt;"&amp;DATE(2026,13,1)))</f>
        <v/>
      </c>
      <c r="O68" s="5" t="str">
        <f aca="false">IF($C68="","",SUM(E68:N68))</f>
        <v/>
      </c>
      <c r="P68" s="5" t="str">
        <f aca="false">IF($C68="","",SUMIFS(MOVIMIENTOS!$I:$I,MOVIMIENTOS!$D:$D,"Aporte",MOVIMIENTOS!$E:$E,"Extraordinaria",MOVIMIENTOS!$F:$F,P$4,MOVIMIENTOS!$J:$J,$C68))</f>
        <v/>
      </c>
      <c r="Q68" s="5" t="str">
        <f aca="false">IF($C68="","",SUMIFS(MOVIMIENTOS!$I:$I,MOVIMIENTOS!$D:$D,"Aporte",MOVIMIENTOS!$E:$E,"Extraordinaria",MOVIMIENTOS!$F:$F,Q$4,MOVIMIENTOS!$J:$J,$C68))</f>
        <v/>
      </c>
      <c r="R68" s="5" t="str">
        <f aca="false">IF($C68="","",SUMIFS(MOVIMIENTOS!$I:$I,MOVIMIENTOS!$D:$D,"Aporte",MOVIMIENTOS!$E:$E,"Extraordinaria",MOVIMIENTOS!$F:$F,R$4,MOVIMIENTOS!$J:$J,$C68))</f>
        <v/>
      </c>
      <c r="S68" s="5" t="str">
        <f aca="false">IF($C68="","",SUMIFS(MOVIMIENTOS!$I:$I,MOVIMIENTOS!$D:$D,"Aporte",MOVIMIENTOS!$E:$E,"Extraordinaria",MOVIMIENTOS!$F:$F,S$4,MOVIMIENTOS!$J:$J,$C68))</f>
        <v/>
      </c>
      <c r="T68" s="5" t="str">
        <f aca="false">IF($C68="","",SUMIFS(MOVIMIENTOS!$I:$I,MOVIMIENTOS!$D:$D,"Aporte",MOVIMIENTOS!$E:$E,"Extraordinaria",MOVIMIENTOS!$F:$F,T$4,MOVIMIENTOS!$J:$J,$C68))</f>
        <v/>
      </c>
      <c r="U68" s="5" t="str">
        <f aca="false">IF($C68="","",SUMIFS(MOVIMIENTOS!$I:$I,MOVIMIENTOS!$D:$D,"Aporte",MOVIMIENTOS!$E:$E,"Extraordinaria",MOVIMIENTOS!$F:$F,U$4,MOVIMIENTOS!$J:$J,$C68))</f>
        <v/>
      </c>
      <c r="V68" s="5" t="str">
        <f aca="false">IF($C68="","",SUMIFS(MOVIMIENTOS!$I:$I,MOVIMIENTOS!$D:$D,"Aporte",MOVIMIENTOS!$E:$E,"Extraordinaria",MOVIMIENTOS!$F:$F,V$4,MOVIMIENTOS!$J:$J,$C68))</f>
        <v/>
      </c>
      <c r="W68" s="5" t="str">
        <f aca="false">IF($C68="","",SUM(P68:V68))</f>
        <v/>
      </c>
      <c r="X68" s="5" t="str">
        <f aca="false">IF($C68="","",O68+W68)</f>
        <v/>
      </c>
      <c r="Y68" s="12"/>
    </row>
    <row r="69" customFormat="false" ht="15" hidden="false" customHeight="false" outlineLevel="0" collapsed="false">
      <c r="A69" s="12"/>
      <c r="B69" s="12"/>
      <c r="C69" s="12"/>
      <c r="D69" s="12"/>
      <c r="E69" s="5" t="str">
        <f aca="false">IF($C69="","",SUMIFS(MOVIMIENTOS!$I:$I,MOVIMIENTOS!$D:$D,"Aporte",MOVIMIENTOS!$E:$E,"Anual",MOVIMIENTOS!$J:$J,$C69,MOVIMIENTOS!$B:$B,"&gt;="&amp;DATE(2026,3,1),MOVIMIENTOS!$B:$B,"&lt;"&amp;DATE(2026,4,1)))</f>
        <v/>
      </c>
      <c r="F69" s="5" t="str">
        <f aca="false">IF($C69="","",SUMIFS(MOVIMIENTOS!$I:$I,MOVIMIENTOS!$D:$D,"Aporte",MOVIMIENTOS!$E:$E,"Anual",MOVIMIENTOS!$J:$J,$C69,MOVIMIENTOS!$B:$B,"&gt;="&amp;DATE(2026,4,1),MOVIMIENTOS!$B:$B,"&lt;"&amp;DATE(2026,5,1)))</f>
        <v/>
      </c>
      <c r="G69" s="5" t="str">
        <f aca="false">IF($C69="","",SUMIFS(MOVIMIENTOS!$I:$I,MOVIMIENTOS!$D:$D,"Aporte",MOVIMIENTOS!$E:$E,"Anual",MOVIMIENTOS!$J:$J,$C69,MOVIMIENTOS!$B:$B,"&gt;="&amp;DATE(2026,5,1),MOVIMIENTOS!$B:$B,"&lt;"&amp;DATE(2026,6,1)))</f>
        <v/>
      </c>
      <c r="H69" s="5" t="str">
        <f aca="false">IF($C69="","",SUMIFS(MOVIMIENTOS!$I:$I,MOVIMIENTOS!$D:$D,"Aporte",MOVIMIENTOS!$E:$E,"Anual",MOVIMIENTOS!$J:$J,$C69,MOVIMIENTOS!$B:$B,"&gt;="&amp;DATE(2026,6,1),MOVIMIENTOS!$B:$B,"&lt;"&amp;DATE(2026,7,1)))</f>
        <v/>
      </c>
      <c r="I69" s="5" t="str">
        <f aca="false">IF($C69="","",SUMIFS(MOVIMIENTOS!$I:$I,MOVIMIENTOS!$D:$D,"Aporte",MOVIMIENTOS!$E:$E,"Anual",MOVIMIENTOS!$J:$J,$C69,MOVIMIENTOS!$B:$B,"&gt;="&amp;DATE(2026,7,1),MOVIMIENTOS!$B:$B,"&lt;"&amp;DATE(2026,8,1)))</f>
        <v/>
      </c>
      <c r="J69" s="5" t="str">
        <f aca="false">IF($C69="","",SUMIFS(MOVIMIENTOS!$I:$I,MOVIMIENTOS!$D:$D,"Aporte",MOVIMIENTOS!$E:$E,"Anual",MOVIMIENTOS!$J:$J,$C69,MOVIMIENTOS!$B:$B,"&gt;="&amp;DATE(2026,8,1),MOVIMIENTOS!$B:$B,"&lt;"&amp;DATE(2026,9,1)))</f>
        <v/>
      </c>
      <c r="K69" s="5" t="str">
        <f aca="false">IF($C69="","",SUMIFS(MOVIMIENTOS!$I:$I,MOVIMIENTOS!$D:$D,"Aporte",MOVIMIENTOS!$E:$E,"Anual",MOVIMIENTOS!$J:$J,$C69,MOVIMIENTOS!$B:$B,"&gt;="&amp;DATE(2026,9,1),MOVIMIENTOS!$B:$B,"&lt;"&amp;DATE(2026,10,1)))</f>
        <v/>
      </c>
      <c r="L69" s="5" t="str">
        <f aca="false">IF($C69="","",SUMIFS(MOVIMIENTOS!$I:$I,MOVIMIENTOS!$D:$D,"Aporte",MOVIMIENTOS!$E:$E,"Anual",MOVIMIENTOS!$J:$J,$C69,MOVIMIENTOS!$B:$B,"&gt;="&amp;DATE(2026,10,1),MOVIMIENTOS!$B:$B,"&lt;"&amp;DATE(2026,11,1)))</f>
        <v/>
      </c>
      <c r="M69" s="5" t="str">
        <f aca="false">IF($C69="","",SUMIFS(MOVIMIENTOS!$I:$I,MOVIMIENTOS!$D:$D,"Aporte",MOVIMIENTOS!$E:$E,"Anual",MOVIMIENTOS!$J:$J,$C69,MOVIMIENTOS!$B:$B,"&gt;="&amp;DATE(2026,11,1),MOVIMIENTOS!$B:$B,"&lt;"&amp;DATE(2026,12,1)))</f>
        <v/>
      </c>
      <c r="N69" s="5" t="str">
        <f aca="false">IF($C69="","",SUMIFS(MOVIMIENTOS!$I:$I,MOVIMIENTOS!$D:$D,"Aporte",MOVIMIENTOS!$E:$E,"Anual",MOVIMIENTOS!$J:$J,$C69,MOVIMIENTOS!$B:$B,"&gt;="&amp;DATE(2026,12,1),MOVIMIENTOS!$B:$B,"&lt;"&amp;DATE(2026,13,1)))</f>
        <v/>
      </c>
      <c r="O69" s="5" t="str">
        <f aca="false">IF($C69="","",SUM(E69:N69))</f>
        <v/>
      </c>
      <c r="P69" s="5" t="str">
        <f aca="false">IF($C69="","",SUMIFS(MOVIMIENTOS!$I:$I,MOVIMIENTOS!$D:$D,"Aporte",MOVIMIENTOS!$E:$E,"Extraordinaria",MOVIMIENTOS!$F:$F,P$4,MOVIMIENTOS!$J:$J,$C69))</f>
        <v/>
      </c>
      <c r="Q69" s="5" t="str">
        <f aca="false">IF($C69="","",SUMIFS(MOVIMIENTOS!$I:$I,MOVIMIENTOS!$D:$D,"Aporte",MOVIMIENTOS!$E:$E,"Extraordinaria",MOVIMIENTOS!$F:$F,Q$4,MOVIMIENTOS!$J:$J,$C69))</f>
        <v/>
      </c>
      <c r="R69" s="5" t="str">
        <f aca="false">IF($C69="","",SUMIFS(MOVIMIENTOS!$I:$I,MOVIMIENTOS!$D:$D,"Aporte",MOVIMIENTOS!$E:$E,"Extraordinaria",MOVIMIENTOS!$F:$F,R$4,MOVIMIENTOS!$J:$J,$C69))</f>
        <v/>
      </c>
      <c r="S69" s="5" t="str">
        <f aca="false">IF($C69="","",SUMIFS(MOVIMIENTOS!$I:$I,MOVIMIENTOS!$D:$D,"Aporte",MOVIMIENTOS!$E:$E,"Extraordinaria",MOVIMIENTOS!$F:$F,S$4,MOVIMIENTOS!$J:$J,$C69))</f>
        <v/>
      </c>
      <c r="T69" s="5" t="str">
        <f aca="false">IF($C69="","",SUMIFS(MOVIMIENTOS!$I:$I,MOVIMIENTOS!$D:$D,"Aporte",MOVIMIENTOS!$E:$E,"Extraordinaria",MOVIMIENTOS!$F:$F,T$4,MOVIMIENTOS!$J:$J,$C69))</f>
        <v/>
      </c>
      <c r="U69" s="5" t="str">
        <f aca="false">IF($C69="","",SUMIFS(MOVIMIENTOS!$I:$I,MOVIMIENTOS!$D:$D,"Aporte",MOVIMIENTOS!$E:$E,"Extraordinaria",MOVIMIENTOS!$F:$F,U$4,MOVIMIENTOS!$J:$J,$C69))</f>
        <v/>
      </c>
      <c r="V69" s="5" t="str">
        <f aca="false">IF($C69="","",SUMIFS(MOVIMIENTOS!$I:$I,MOVIMIENTOS!$D:$D,"Aporte",MOVIMIENTOS!$E:$E,"Extraordinaria",MOVIMIENTOS!$F:$F,V$4,MOVIMIENTOS!$J:$J,$C69))</f>
        <v/>
      </c>
      <c r="W69" s="5" t="str">
        <f aca="false">IF($C69="","",SUM(P69:V69))</f>
        <v/>
      </c>
      <c r="X69" s="5" t="str">
        <f aca="false">IF($C69="","",O69+W69)</f>
        <v/>
      </c>
      <c r="Y69" s="12"/>
    </row>
    <row r="70" customFormat="false" ht="15" hidden="false" customHeight="false" outlineLevel="0" collapsed="false">
      <c r="A70" s="12"/>
      <c r="B70" s="12"/>
      <c r="C70" s="12"/>
      <c r="D70" s="12"/>
      <c r="E70" s="5" t="str">
        <f aca="false">IF($C70="","",SUMIFS(MOVIMIENTOS!$I:$I,MOVIMIENTOS!$D:$D,"Aporte",MOVIMIENTOS!$E:$E,"Anual",MOVIMIENTOS!$J:$J,$C70,MOVIMIENTOS!$B:$B,"&gt;="&amp;DATE(2026,3,1),MOVIMIENTOS!$B:$B,"&lt;"&amp;DATE(2026,4,1)))</f>
        <v/>
      </c>
      <c r="F70" s="5" t="str">
        <f aca="false">IF($C70="","",SUMIFS(MOVIMIENTOS!$I:$I,MOVIMIENTOS!$D:$D,"Aporte",MOVIMIENTOS!$E:$E,"Anual",MOVIMIENTOS!$J:$J,$C70,MOVIMIENTOS!$B:$B,"&gt;="&amp;DATE(2026,4,1),MOVIMIENTOS!$B:$B,"&lt;"&amp;DATE(2026,5,1)))</f>
        <v/>
      </c>
      <c r="G70" s="5" t="str">
        <f aca="false">IF($C70="","",SUMIFS(MOVIMIENTOS!$I:$I,MOVIMIENTOS!$D:$D,"Aporte",MOVIMIENTOS!$E:$E,"Anual",MOVIMIENTOS!$J:$J,$C70,MOVIMIENTOS!$B:$B,"&gt;="&amp;DATE(2026,5,1),MOVIMIENTOS!$B:$B,"&lt;"&amp;DATE(2026,6,1)))</f>
        <v/>
      </c>
      <c r="H70" s="5" t="str">
        <f aca="false">IF($C70="","",SUMIFS(MOVIMIENTOS!$I:$I,MOVIMIENTOS!$D:$D,"Aporte",MOVIMIENTOS!$E:$E,"Anual",MOVIMIENTOS!$J:$J,$C70,MOVIMIENTOS!$B:$B,"&gt;="&amp;DATE(2026,6,1),MOVIMIENTOS!$B:$B,"&lt;"&amp;DATE(2026,7,1)))</f>
        <v/>
      </c>
      <c r="I70" s="5" t="str">
        <f aca="false">IF($C70="","",SUMIFS(MOVIMIENTOS!$I:$I,MOVIMIENTOS!$D:$D,"Aporte",MOVIMIENTOS!$E:$E,"Anual",MOVIMIENTOS!$J:$J,$C70,MOVIMIENTOS!$B:$B,"&gt;="&amp;DATE(2026,7,1),MOVIMIENTOS!$B:$B,"&lt;"&amp;DATE(2026,8,1)))</f>
        <v/>
      </c>
      <c r="J70" s="5" t="str">
        <f aca="false">IF($C70="","",SUMIFS(MOVIMIENTOS!$I:$I,MOVIMIENTOS!$D:$D,"Aporte",MOVIMIENTOS!$E:$E,"Anual",MOVIMIENTOS!$J:$J,$C70,MOVIMIENTOS!$B:$B,"&gt;="&amp;DATE(2026,8,1),MOVIMIENTOS!$B:$B,"&lt;"&amp;DATE(2026,9,1)))</f>
        <v/>
      </c>
      <c r="K70" s="5" t="str">
        <f aca="false">IF($C70="","",SUMIFS(MOVIMIENTOS!$I:$I,MOVIMIENTOS!$D:$D,"Aporte",MOVIMIENTOS!$E:$E,"Anual",MOVIMIENTOS!$J:$J,$C70,MOVIMIENTOS!$B:$B,"&gt;="&amp;DATE(2026,9,1),MOVIMIENTOS!$B:$B,"&lt;"&amp;DATE(2026,10,1)))</f>
        <v/>
      </c>
      <c r="L70" s="5" t="str">
        <f aca="false">IF($C70="","",SUMIFS(MOVIMIENTOS!$I:$I,MOVIMIENTOS!$D:$D,"Aporte",MOVIMIENTOS!$E:$E,"Anual",MOVIMIENTOS!$J:$J,$C70,MOVIMIENTOS!$B:$B,"&gt;="&amp;DATE(2026,10,1),MOVIMIENTOS!$B:$B,"&lt;"&amp;DATE(2026,11,1)))</f>
        <v/>
      </c>
      <c r="M70" s="5" t="str">
        <f aca="false">IF($C70="","",SUMIFS(MOVIMIENTOS!$I:$I,MOVIMIENTOS!$D:$D,"Aporte",MOVIMIENTOS!$E:$E,"Anual",MOVIMIENTOS!$J:$J,$C70,MOVIMIENTOS!$B:$B,"&gt;="&amp;DATE(2026,11,1),MOVIMIENTOS!$B:$B,"&lt;"&amp;DATE(2026,12,1)))</f>
        <v/>
      </c>
      <c r="N70" s="5" t="str">
        <f aca="false">IF($C70="","",SUMIFS(MOVIMIENTOS!$I:$I,MOVIMIENTOS!$D:$D,"Aporte",MOVIMIENTOS!$E:$E,"Anual",MOVIMIENTOS!$J:$J,$C70,MOVIMIENTOS!$B:$B,"&gt;="&amp;DATE(2026,12,1),MOVIMIENTOS!$B:$B,"&lt;"&amp;DATE(2026,13,1)))</f>
        <v/>
      </c>
      <c r="O70" s="5" t="str">
        <f aca="false">IF($C70="","",SUM(E70:N70))</f>
        <v/>
      </c>
      <c r="P70" s="5" t="str">
        <f aca="false">IF($C70="","",SUMIFS(MOVIMIENTOS!$I:$I,MOVIMIENTOS!$D:$D,"Aporte",MOVIMIENTOS!$E:$E,"Extraordinaria",MOVIMIENTOS!$F:$F,P$4,MOVIMIENTOS!$J:$J,$C70))</f>
        <v/>
      </c>
      <c r="Q70" s="5" t="str">
        <f aca="false">IF($C70="","",SUMIFS(MOVIMIENTOS!$I:$I,MOVIMIENTOS!$D:$D,"Aporte",MOVIMIENTOS!$E:$E,"Extraordinaria",MOVIMIENTOS!$F:$F,Q$4,MOVIMIENTOS!$J:$J,$C70))</f>
        <v/>
      </c>
      <c r="R70" s="5" t="str">
        <f aca="false">IF($C70="","",SUMIFS(MOVIMIENTOS!$I:$I,MOVIMIENTOS!$D:$D,"Aporte",MOVIMIENTOS!$E:$E,"Extraordinaria",MOVIMIENTOS!$F:$F,R$4,MOVIMIENTOS!$J:$J,$C70))</f>
        <v/>
      </c>
      <c r="S70" s="5" t="str">
        <f aca="false">IF($C70="","",SUMIFS(MOVIMIENTOS!$I:$I,MOVIMIENTOS!$D:$D,"Aporte",MOVIMIENTOS!$E:$E,"Extraordinaria",MOVIMIENTOS!$F:$F,S$4,MOVIMIENTOS!$J:$J,$C70))</f>
        <v/>
      </c>
      <c r="T70" s="5" t="str">
        <f aca="false">IF($C70="","",SUMIFS(MOVIMIENTOS!$I:$I,MOVIMIENTOS!$D:$D,"Aporte",MOVIMIENTOS!$E:$E,"Extraordinaria",MOVIMIENTOS!$F:$F,T$4,MOVIMIENTOS!$J:$J,$C70))</f>
        <v/>
      </c>
      <c r="U70" s="5" t="str">
        <f aca="false">IF($C70="","",SUMIFS(MOVIMIENTOS!$I:$I,MOVIMIENTOS!$D:$D,"Aporte",MOVIMIENTOS!$E:$E,"Extraordinaria",MOVIMIENTOS!$F:$F,U$4,MOVIMIENTOS!$J:$J,$C70))</f>
        <v/>
      </c>
      <c r="V70" s="5" t="str">
        <f aca="false">IF($C70="","",SUMIFS(MOVIMIENTOS!$I:$I,MOVIMIENTOS!$D:$D,"Aporte",MOVIMIENTOS!$E:$E,"Extraordinaria",MOVIMIENTOS!$F:$F,V$4,MOVIMIENTOS!$J:$J,$C70))</f>
        <v/>
      </c>
      <c r="W70" s="5" t="str">
        <f aca="false">IF($C70="","",SUM(P70:V70))</f>
        <v/>
      </c>
      <c r="X70" s="5" t="str">
        <f aca="false">IF($C70="","",O70+W70)</f>
        <v/>
      </c>
      <c r="Y70" s="12"/>
    </row>
    <row r="71" customFormat="false" ht="15" hidden="false" customHeight="false" outlineLevel="0" collapsed="false">
      <c r="A71" s="12"/>
      <c r="B71" s="12"/>
      <c r="C71" s="12"/>
      <c r="D71" s="12"/>
      <c r="E71" s="5" t="str">
        <f aca="false">IF($C71="","",SUMIFS(MOVIMIENTOS!$I:$I,MOVIMIENTOS!$D:$D,"Aporte",MOVIMIENTOS!$E:$E,"Anual",MOVIMIENTOS!$J:$J,$C71,MOVIMIENTOS!$B:$B,"&gt;="&amp;DATE(2026,3,1),MOVIMIENTOS!$B:$B,"&lt;"&amp;DATE(2026,4,1)))</f>
        <v/>
      </c>
      <c r="F71" s="5" t="str">
        <f aca="false">IF($C71="","",SUMIFS(MOVIMIENTOS!$I:$I,MOVIMIENTOS!$D:$D,"Aporte",MOVIMIENTOS!$E:$E,"Anual",MOVIMIENTOS!$J:$J,$C71,MOVIMIENTOS!$B:$B,"&gt;="&amp;DATE(2026,4,1),MOVIMIENTOS!$B:$B,"&lt;"&amp;DATE(2026,5,1)))</f>
        <v/>
      </c>
      <c r="G71" s="5" t="str">
        <f aca="false">IF($C71="","",SUMIFS(MOVIMIENTOS!$I:$I,MOVIMIENTOS!$D:$D,"Aporte",MOVIMIENTOS!$E:$E,"Anual",MOVIMIENTOS!$J:$J,$C71,MOVIMIENTOS!$B:$B,"&gt;="&amp;DATE(2026,5,1),MOVIMIENTOS!$B:$B,"&lt;"&amp;DATE(2026,6,1)))</f>
        <v/>
      </c>
      <c r="H71" s="5" t="str">
        <f aca="false">IF($C71="","",SUMIFS(MOVIMIENTOS!$I:$I,MOVIMIENTOS!$D:$D,"Aporte",MOVIMIENTOS!$E:$E,"Anual",MOVIMIENTOS!$J:$J,$C71,MOVIMIENTOS!$B:$B,"&gt;="&amp;DATE(2026,6,1),MOVIMIENTOS!$B:$B,"&lt;"&amp;DATE(2026,7,1)))</f>
        <v/>
      </c>
      <c r="I71" s="5" t="str">
        <f aca="false">IF($C71="","",SUMIFS(MOVIMIENTOS!$I:$I,MOVIMIENTOS!$D:$D,"Aporte",MOVIMIENTOS!$E:$E,"Anual",MOVIMIENTOS!$J:$J,$C71,MOVIMIENTOS!$B:$B,"&gt;="&amp;DATE(2026,7,1),MOVIMIENTOS!$B:$B,"&lt;"&amp;DATE(2026,8,1)))</f>
        <v/>
      </c>
      <c r="J71" s="5" t="str">
        <f aca="false">IF($C71="","",SUMIFS(MOVIMIENTOS!$I:$I,MOVIMIENTOS!$D:$D,"Aporte",MOVIMIENTOS!$E:$E,"Anual",MOVIMIENTOS!$J:$J,$C71,MOVIMIENTOS!$B:$B,"&gt;="&amp;DATE(2026,8,1),MOVIMIENTOS!$B:$B,"&lt;"&amp;DATE(2026,9,1)))</f>
        <v/>
      </c>
      <c r="K71" s="5" t="str">
        <f aca="false">IF($C71="","",SUMIFS(MOVIMIENTOS!$I:$I,MOVIMIENTOS!$D:$D,"Aporte",MOVIMIENTOS!$E:$E,"Anual",MOVIMIENTOS!$J:$J,$C71,MOVIMIENTOS!$B:$B,"&gt;="&amp;DATE(2026,9,1),MOVIMIENTOS!$B:$B,"&lt;"&amp;DATE(2026,10,1)))</f>
        <v/>
      </c>
      <c r="L71" s="5" t="str">
        <f aca="false">IF($C71="","",SUMIFS(MOVIMIENTOS!$I:$I,MOVIMIENTOS!$D:$D,"Aporte",MOVIMIENTOS!$E:$E,"Anual",MOVIMIENTOS!$J:$J,$C71,MOVIMIENTOS!$B:$B,"&gt;="&amp;DATE(2026,10,1),MOVIMIENTOS!$B:$B,"&lt;"&amp;DATE(2026,11,1)))</f>
        <v/>
      </c>
      <c r="M71" s="5" t="str">
        <f aca="false">IF($C71="","",SUMIFS(MOVIMIENTOS!$I:$I,MOVIMIENTOS!$D:$D,"Aporte",MOVIMIENTOS!$E:$E,"Anual",MOVIMIENTOS!$J:$J,$C71,MOVIMIENTOS!$B:$B,"&gt;="&amp;DATE(2026,11,1),MOVIMIENTOS!$B:$B,"&lt;"&amp;DATE(2026,12,1)))</f>
        <v/>
      </c>
      <c r="N71" s="5" t="str">
        <f aca="false">IF($C71="","",SUMIFS(MOVIMIENTOS!$I:$I,MOVIMIENTOS!$D:$D,"Aporte",MOVIMIENTOS!$E:$E,"Anual",MOVIMIENTOS!$J:$J,$C71,MOVIMIENTOS!$B:$B,"&gt;="&amp;DATE(2026,12,1),MOVIMIENTOS!$B:$B,"&lt;"&amp;DATE(2026,13,1)))</f>
        <v/>
      </c>
      <c r="O71" s="5" t="str">
        <f aca="false">IF($C71="","",SUM(E71:N71))</f>
        <v/>
      </c>
      <c r="P71" s="5" t="str">
        <f aca="false">IF($C71="","",SUMIFS(MOVIMIENTOS!$I:$I,MOVIMIENTOS!$D:$D,"Aporte",MOVIMIENTOS!$E:$E,"Extraordinaria",MOVIMIENTOS!$F:$F,P$4,MOVIMIENTOS!$J:$J,$C71))</f>
        <v/>
      </c>
      <c r="Q71" s="5" t="str">
        <f aca="false">IF($C71="","",SUMIFS(MOVIMIENTOS!$I:$I,MOVIMIENTOS!$D:$D,"Aporte",MOVIMIENTOS!$E:$E,"Extraordinaria",MOVIMIENTOS!$F:$F,Q$4,MOVIMIENTOS!$J:$J,$C71))</f>
        <v/>
      </c>
      <c r="R71" s="5" t="str">
        <f aca="false">IF($C71="","",SUMIFS(MOVIMIENTOS!$I:$I,MOVIMIENTOS!$D:$D,"Aporte",MOVIMIENTOS!$E:$E,"Extraordinaria",MOVIMIENTOS!$F:$F,R$4,MOVIMIENTOS!$J:$J,$C71))</f>
        <v/>
      </c>
      <c r="S71" s="5" t="str">
        <f aca="false">IF($C71="","",SUMIFS(MOVIMIENTOS!$I:$I,MOVIMIENTOS!$D:$D,"Aporte",MOVIMIENTOS!$E:$E,"Extraordinaria",MOVIMIENTOS!$F:$F,S$4,MOVIMIENTOS!$J:$J,$C71))</f>
        <v/>
      </c>
      <c r="T71" s="5" t="str">
        <f aca="false">IF($C71="","",SUMIFS(MOVIMIENTOS!$I:$I,MOVIMIENTOS!$D:$D,"Aporte",MOVIMIENTOS!$E:$E,"Extraordinaria",MOVIMIENTOS!$F:$F,T$4,MOVIMIENTOS!$J:$J,$C71))</f>
        <v/>
      </c>
      <c r="U71" s="5" t="str">
        <f aca="false">IF($C71="","",SUMIFS(MOVIMIENTOS!$I:$I,MOVIMIENTOS!$D:$D,"Aporte",MOVIMIENTOS!$E:$E,"Extraordinaria",MOVIMIENTOS!$F:$F,U$4,MOVIMIENTOS!$J:$J,$C71))</f>
        <v/>
      </c>
      <c r="V71" s="5" t="str">
        <f aca="false">IF($C71="","",SUMIFS(MOVIMIENTOS!$I:$I,MOVIMIENTOS!$D:$D,"Aporte",MOVIMIENTOS!$E:$E,"Extraordinaria",MOVIMIENTOS!$F:$F,V$4,MOVIMIENTOS!$J:$J,$C71))</f>
        <v/>
      </c>
      <c r="W71" s="5" t="str">
        <f aca="false">IF($C71="","",SUM(P71:V71))</f>
        <v/>
      </c>
      <c r="X71" s="5" t="str">
        <f aca="false">IF($C71="","",O71+W71)</f>
        <v/>
      </c>
      <c r="Y71" s="12"/>
    </row>
    <row r="72" customFormat="false" ht="15" hidden="false" customHeight="false" outlineLevel="0" collapsed="false">
      <c r="A72" s="12"/>
      <c r="B72" s="12"/>
      <c r="C72" s="12"/>
      <c r="D72" s="12"/>
      <c r="E72" s="5" t="str">
        <f aca="false">IF($C72="","",SUMIFS(MOVIMIENTOS!$I:$I,MOVIMIENTOS!$D:$D,"Aporte",MOVIMIENTOS!$E:$E,"Anual",MOVIMIENTOS!$J:$J,$C72,MOVIMIENTOS!$B:$B,"&gt;="&amp;DATE(2026,3,1),MOVIMIENTOS!$B:$B,"&lt;"&amp;DATE(2026,4,1)))</f>
        <v/>
      </c>
      <c r="F72" s="5" t="str">
        <f aca="false">IF($C72="","",SUMIFS(MOVIMIENTOS!$I:$I,MOVIMIENTOS!$D:$D,"Aporte",MOVIMIENTOS!$E:$E,"Anual",MOVIMIENTOS!$J:$J,$C72,MOVIMIENTOS!$B:$B,"&gt;="&amp;DATE(2026,4,1),MOVIMIENTOS!$B:$B,"&lt;"&amp;DATE(2026,5,1)))</f>
        <v/>
      </c>
      <c r="G72" s="5" t="str">
        <f aca="false">IF($C72="","",SUMIFS(MOVIMIENTOS!$I:$I,MOVIMIENTOS!$D:$D,"Aporte",MOVIMIENTOS!$E:$E,"Anual",MOVIMIENTOS!$J:$J,$C72,MOVIMIENTOS!$B:$B,"&gt;="&amp;DATE(2026,5,1),MOVIMIENTOS!$B:$B,"&lt;"&amp;DATE(2026,6,1)))</f>
        <v/>
      </c>
      <c r="H72" s="5" t="str">
        <f aca="false">IF($C72="","",SUMIFS(MOVIMIENTOS!$I:$I,MOVIMIENTOS!$D:$D,"Aporte",MOVIMIENTOS!$E:$E,"Anual",MOVIMIENTOS!$J:$J,$C72,MOVIMIENTOS!$B:$B,"&gt;="&amp;DATE(2026,6,1),MOVIMIENTOS!$B:$B,"&lt;"&amp;DATE(2026,7,1)))</f>
        <v/>
      </c>
      <c r="I72" s="5" t="str">
        <f aca="false">IF($C72="","",SUMIFS(MOVIMIENTOS!$I:$I,MOVIMIENTOS!$D:$D,"Aporte",MOVIMIENTOS!$E:$E,"Anual",MOVIMIENTOS!$J:$J,$C72,MOVIMIENTOS!$B:$B,"&gt;="&amp;DATE(2026,7,1),MOVIMIENTOS!$B:$B,"&lt;"&amp;DATE(2026,8,1)))</f>
        <v/>
      </c>
      <c r="J72" s="5" t="str">
        <f aca="false">IF($C72="","",SUMIFS(MOVIMIENTOS!$I:$I,MOVIMIENTOS!$D:$D,"Aporte",MOVIMIENTOS!$E:$E,"Anual",MOVIMIENTOS!$J:$J,$C72,MOVIMIENTOS!$B:$B,"&gt;="&amp;DATE(2026,8,1),MOVIMIENTOS!$B:$B,"&lt;"&amp;DATE(2026,9,1)))</f>
        <v/>
      </c>
      <c r="K72" s="5" t="str">
        <f aca="false">IF($C72="","",SUMIFS(MOVIMIENTOS!$I:$I,MOVIMIENTOS!$D:$D,"Aporte",MOVIMIENTOS!$E:$E,"Anual",MOVIMIENTOS!$J:$J,$C72,MOVIMIENTOS!$B:$B,"&gt;="&amp;DATE(2026,9,1),MOVIMIENTOS!$B:$B,"&lt;"&amp;DATE(2026,10,1)))</f>
        <v/>
      </c>
      <c r="L72" s="5" t="str">
        <f aca="false">IF($C72="","",SUMIFS(MOVIMIENTOS!$I:$I,MOVIMIENTOS!$D:$D,"Aporte",MOVIMIENTOS!$E:$E,"Anual",MOVIMIENTOS!$J:$J,$C72,MOVIMIENTOS!$B:$B,"&gt;="&amp;DATE(2026,10,1),MOVIMIENTOS!$B:$B,"&lt;"&amp;DATE(2026,11,1)))</f>
        <v/>
      </c>
      <c r="M72" s="5" t="str">
        <f aca="false">IF($C72="","",SUMIFS(MOVIMIENTOS!$I:$I,MOVIMIENTOS!$D:$D,"Aporte",MOVIMIENTOS!$E:$E,"Anual",MOVIMIENTOS!$J:$J,$C72,MOVIMIENTOS!$B:$B,"&gt;="&amp;DATE(2026,11,1),MOVIMIENTOS!$B:$B,"&lt;"&amp;DATE(2026,12,1)))</f>
        <v/>
      </c>
      <c r="N72" s="5" t="str">
        <f aca="false">IF($C72="","",SUMIFS(MOVIMIENTOS!$I:$I,MOVIMIENTOS!$D:$D,"Aporte",MOVIMIENTOS!$E:$E,"Anual",MOVIMIENTOS!$J:$J,$C72,MOVIMIENTOS!$B:$B,"&gt;="&amp;DATE(2026,12,1),MOVIMIENTOS!$B:$B,"&lt;"&amp;DATE(2026,13,1)))</f>
        <v/>
      </c>
      <c r="O72" s="5" t="str">
        <f aca="false">IF($C72="","",SUM(E72:N72))</f>
        <v/>
      </c>
      <c r="P72" s="5" t="str">
        <f aca="false">IF($C72="","",SUMIFS(MOVIMIENTOS!$I:$I,MOVIMIENTOS!$D:$D,"Aporte",MOVIMIENTOS!$E:$E,"Extraordinaria",MOVIMIENTOS!$F:$F,P$4,MOVIMIENTOS!$J:$J,$C72))</f>
        <v/>
      </c>
      <c r="Q72" s="5" t="str">
        <f aca="false">IF($C72="","",SUMIFS(MOVIMIENTOS!$I:$I,MOVIMIENTOS!$D:$D,"Aporte",MOVIMIENTOS!$E:$E,"Extraordinaria",MOVIMIENTOS!$F:$F,Q$4,MOVIMIENTOS!$J:$J,$C72))</f>
        <v/>
      </c>
      <c r="R72" s="5" t="str">
        <f aca="false">IF($C72="","",SUMIFS(MOVIMIENTOS!$I:$I,MOVIMIENTOS!$D:$D,"Aporte",MOVIMIENTOS!$E:$E,"Extraordinaria",MOVIMIENTOS!$F:$F,R$4,MOVIMIENTOS!$J:$J,$C72))</f>
        <v/>
      </c>
      <c r="S72" s="5" t="str">
        <f aca="false">IF($C72="","",SUMIFS(MOVIMIENTOS!$I:$I,MOVIMIENTOS!$D:$D,"Aporte",MOVIMIENTOS!$E:$E,"Extraordinaria",MOVIMIENTOS!$F:$F,S$4,MOVIMIENTOS!$J:$J,$C72))</f>
        <v/>
      </c>
      <c r="T72" s="5" t="str">
        <f aca="false">IF($C72="","",SUMIFS(MOVIMIENTOS!$I:$I,MOVIMIENTOS!$D:$D,"Aporte",MOVIMIENTOS!$E:$E,"Extraordinaria",MOVIMIENTOS!$F:$F,T$4,MOVIMIENTOS!$J:$J,$C72))</f>
        <v/>
      </c>
      <c r="U72" s="5" t="str">
        <f aca="false">IF($C72="","",SUMIFS(MOVIMIENTOS!$I:$I,MOVIMIENTOS!$D:$D,"Aporte",MOVIMIENTOS!$E:$E,"Extraordinaria",MOVIMIENTOS!$F:$F,U$4,MOVIMIENTOS!$J:$J,$C72))</f>
        <v/>
      </c>
      <c r="V72" s="5" t="str">
        <f aca="false">IF($C72="","",SUMIFS(MOVIMIENTOS!$I:$I,MOVIMIENTOS!$D:$D,"Aporte",MOVIMIENTOS!$E:$E,"Extraordinaria",MOVIMIENTOS!$F:$F,V$4,MOVIMIENTOS!$J:$J,$C72))</f>
        <v/>
      </c>
      <c r="W72" s="5" t="str">
        <f aca="false">IF($C72="","",SUM(P72:V72))</f>
        <v/>
      </c>
      <c r="X72" s="5" t="str">
        <f aca="false">IF($C72="","",O72+W72)</f>
        <v/>
      </c>
      <c r="Y72" s="12"/>
    </row>
    <row r="73" customFormat="false" ht="15" hidden="false" customHeight="false" outlineLevel="0" collapsed="false">
      <c r="A73" s="12"/>
      <c r="B73" s="12"/>
      <c r="C73" s="12"/>
      <c r="D73" s="12"/>
      <c r="E73" s="5" t="str">
        <f aca="false">IF($C73="","",SUMIFS(MOVIMIENTOS!$I:$I,MOVIMIENTOS!$D:$D,"Aporte",MOVIMIENTOS!$E:$E,"Anual",MOVIMIENTOS!$J:$J,$C73,MOVIMIENTOS!$B:$B,"&gt;="&amp;DATE(2026,3,1),MOVIMIENTOS!$B:$B,"&lt;"&amp;DATE(2026,4,1)))</f>
        <v/>
      </c>
      <c r="F73" s="5" t="str">
        <f aca="false">IF($C73="","",SUMIFS(MOVIMIENTOS!$I:$I,MOVIMIENTOS!$D:$D,"Aporte",MOVIMIENTOS!$E:$E,"Anual",MOVIMIENTOS!$J:$J,$C73,MOVIMIENTOS!$B:$B,"&gt;="&amp;DATE(2026,4,1),MOVIMIENTOS!$B:$B,"&lt;"&amp;DATE(2026,5,1)))</f>
        <v/>
      </c>
      <c r="G73" s="5" t="str">
        <f aca="false">IF($C73="","",SUMIFS(MOVIMIENTOS!$I:$I,MOVIMIENTOS!$D:$D,"Aporte",MOVIMIENTOS!$E:$E,"Anual",MOVIMIENTOS!$J:$J,$C73,MOVIMIENTOS!$B:$B,"&gt;="&amp;DATE(2026,5,1),MOVIMIENTOS!$B:$B,"&lt;"&amp;DATE(2026,6,1)))</f>
        <v/>
      </c>
      <c r="H73" s="5" t="str">
        <f aca="false">IF($C73="","",SUMIFS(MOVIMIENTOS!$I:$I,MOVIMIENTOS!$D:$D,"Aporte",MOVIMIENTOS!$E:$E,"Anual",MOVIMIENTOS!$J:$J,$C73,MOVIMIENTOS!$B:$B,"&gt;="&amp;DATE(2026,6,1),MOVIMIENTOS!$B:$B,"&lt;"&amp;DATE(2026,7,1)))</f>
        <v/>
      </c>
      <c r="I73" s="5" t="str">
        <f aca="false">IF($C73="","",SUMIFS(MOVIMIENTOS!$I:$I,MOVIMIENTOS!$D:$D,"Aporte",MOVIMIENTOS!$E:$E,"Anual",MOVIMIENTOS!$J:$J,$C73,MOVIMIENTOS!$B:$B,"&gt;="&amp;DATE(2026,7,1),MOVIMIENTOS!$B:$B,"&lt;"&amp;DATE(2026,8,1)))</f>
        <v/>
      </c>
      <c r="J73" s="5" t="str">
        <f aca="false">IF($C73="","",SUMIFS(MOVIMIENTOS!$I:$I,MOVIMIENTOS!$D:$D,"Aporte",MOVIMIENTOS!$E:$E,"Anual",MOVIMIENTOS!$J:$J,$C73,MOVIMIENTOS!$B:$B,"&gt;="&amp;DATE(2026,8,1),MOVIMIENTOS!$B:$B,"&lt;"&amp;DATE(2026,9,1)))</f>
        <v/>
      </c>
      <c r="K73" s="5" t="str">
        <f aca="false">IF($C73="","",SUMIFS(MOVIMIENTOS!$I:$I,MOVIMIENTOS!$D:$D,"Aporte",MOVIMIENTOS!$E:$E,"Anual",MOVIMIENTOS!$J:$J,$C73,MOVIMIENTOS!$B:$B,"&gt;="&amp;DATE(2026,9,1),MOVIMIENTOS!$B:$B,"&lt;"&amp;DATE(2026,10,1)))</f>
        <v/>
      </c>
      <c r="L73" s="5" t="str">
        <f aca="false">IF($C73="","",SUMIFS(MOVIMIENTOS!$I:$I,MOVIMIENTOS!$D:$D,"Aporte",MOVIMIENTOS!$E:$E,"Anual",MOVIMIENTOS!$J:$J,$C73,MOVIMIENTOS!$B:$B,"&gt;="&amp;DATE(2026,10,1),MOVIMIENTOS!$B:$B,"&lt;"&amp;DATE(2026,11,1)))</f>
        <v/>
      </c>
      <c r="M73" s="5" t="str">
        <f aca="false">IF($C73="","",SUMIFS(MOVIMIENTOS!$I:$I,MOVIMIENTOS!$D:$D,"Aporte",MOVIMIENTOS!$E:$E,"Anual",MOVIMIENTOS!$J:$J,$C73,MOVIMIENTOS!$B:$B,"&gt;="&amp;DATE(2026,11,1),MOVIMIENTOS!$B:$B,"&lt;"&amp;DATE(2026,12,1)))</f>
        <v/>
      </c>
      <c r="N73" s="5" t="str">
        <f aca="false">IF($C73="","",SUMIFS(MOVIMIENTOS!$I:$I,MOVIMIENTOS!$D:$D,"Aporte",MOVIMIENTOS!$E:$E,"Anual",MOVIMIENTOS!$J:$J,$C73,MOVIMIENTOS!$B:$B,"&gt;="&amp;DATE(2026,12,1),MOVIMIENTOS!$B:$B,"&lt;"&amp;DATE(2026,13,1)))</f>
        <v/>
      </c>
      <c r="O73" s="5" t="str">
        <f aca="false">IF($C73="","",SUM(E73:N73))</f>
        <v/>
      </c>
      <c r="P73" s="5" t="str">
        <f aca="false">IF($C73="","",SUMIFS(MOVIMIENTOS!$I:$I,MOVIMIENTOS!$D:$D,"Aporte",MOVIMIENTOS!$E:$E,"Extraordinaria",MOVIMIENTOS!$F:$F,P$4,MOVIMIENTOS!$J:$J,$C73))</f>
        <v/>
      </c>
      <c r="Q73" s="5" t="str">
        <f aca="false">IF($C73="","",SUMIFS(MOVIMIENTOS!$I:$I,MOVIMIENTOS!$D:$D,"Aporte",MOVIMIENTOS!$E:$E,"Extraordinaria",MOVIMIENTOS!$F:$F,Q$4,MOVIMIENTOS!$J:$J,$C73))</f>
        <v/>
      </c>
      <c r="R73" s="5" t="str">
        <f aca="false">IF($C73="","",SUMIFS(MOVIMIENTOS!$I:$I,MOVIMIENTOS!$D:$D,"Aporte",MOVIMIENTOS!$E:$E,"Extraordinaria",MOVIMIENTOS!$F:$F,R$4,MOVIMIENTOS!$J:$J,$C73))</f>
        <v/>
      </c>
      <c r="S73" s="5" t="str">
        <f aca="false">IF($C73="","",SUMIFS(MOVIMIENTOS!$I:$I,MOVIMIENTOS!$D:$D,"Aporte",MOVIMIENTOS!$E:$E,"Extraordinaria",MOVIMIENTOS!$F:$F,S$4,MOVIMIENTOS!$J:$J,$C73))</f>
        <v/>
      </c>
      <c r="T73" s="5" t="str">
        <f aca="false">IF($C73="","",SUMIFS(MOVIMIENTOS!$I:$I,MOVIMIENTOS!$D:$D,"Aporte",MOVIMIENTOS!$E:$E,"Extraordinaria",MOVIMIENTOS!$F:$F,T$4,MOVIMIENTOS!$J:$J,$C73))</f>
        <v/>
      </c>
      <c r="U73" s="5" t="str">
        <f aca="false">IF($C73="","",SUMIFS(MOVIMIENTOS!$I:$I,MOVIMIENTOS!$D:$D,"Aporte",MOVIMIENTOS!$E:$E,"Extraordinaria",MOVIMIENTOS!$F:$F,U$4,MOVIMIENTOS!$J:$J,$C73))</f>
        <v/>
      </c>
      <c r="V73" s="5" t="str">
        <f aca="false">IF($C73="","",SUMIFS(MOVIMIENTOS!$I:$I,MOVIMIENTOS!$D:$D,"Aporte",MOVIMIENTOS!$E:$E,"Extraordinaria",MOVIMIENTOS!$F:$F,V$4,MOVIMIENTOS!$J:$J,$C73))</f>
        <v/>
      </c>
      <c r="W73" s="5" t="str">
        <f aca="false">IF($C73="","",SUM(P73:V73))</f>
        <v/>
      </c>
      <c r="X73" s="5" t="str">
        <f aca="false">IF($C73="","",O73+W73)</f>
        <v/>
      </c>
      <c r="Y73" s="12"/>
    </row>
    <row r="74" customFormat="false" ht="15" hidden="false" customHeight="false" outlineLevel="0" collapsed="false">
      <c r="A74" s="12"/>
      <c r="B74" s="12"/>
      <c r="C74" s="12"/>
      <c r="D74" s="12"/>
      <c r="E74" s="5" t="str">
        <f aca="false">IF($C74="","",SUMIFS(MOVIMIENTOS!$I:$I,MOVIMIENTOS!$D:$D,"Aporte",MOVIMIENTOS!$E:$E,"Anual",MOVIMIENTOS!$J:$J,$C74,MOVIMIENTOS!$B:$B,"&gt;="&amp;DATE(2026,3,1),MOVIMIENTOS!$B:$B,"&lt;"&amp;DATE(2026,4,1)))</f>
        <v/>
      </c>
      <c r="F74" s="5" t="str">
        <f aca="false">IF($C74="","",SUMIFS(MOVIMIENTOS!$I:$I,MOVIMIENTOS!$D:$D,"Aporte",MOVIMIENTOS!$E:$E,"Anual",MOVIMIENTOS!$J:$J,$C74,MOVIMIENTOS!$B:$B,"&gt;="&amp;DATE(2026,4,1),MOVIMIENTOS!$B:$B,"&lt;"&amp;DATE(2026,5,1)))</f>
        <v/>
      </c>
      <c r="G74" s="5" t="str">
        <f aca="false">IF($C74="","",SUMIFS(MOVIMIENTOS!$I:$I,MOVIMIENTOS!$D:$D,"Aporte",MOVIMIENTOS!$E:$E,"Anual",MOVIMIENTOS!$J:$J,$C74,MOVIMIENTOS!$B:$B,"&gt;="&amp;DATE(2026,5,1),MOVIMIENTOS!$B:$B,"&lt;"&amp;DATE(2026,6,1)))</f>
        <v/>
      </c>
      <c r="H74" s="5" t="str">
        <f aca="false">IF($C74="","",SUMIFS(MOVIMIENTOS!$I:$I,MOVIMIENTOS!$D:$D,"Aporte",MOVIMIENTOS!$E:$E,"Anual",MOVIMIENTOS!$J:$J,$C74,MOVIMIENTOS!$B:$B,"&gt;="&amp;DATE(2026,6,1),MOVIMIENTOS!$B:$B,"&lt;"&amp;DATE(2026,7,1)))</f>
        <v/>
      </c>
      <c r="I74" s="5" t="str">
        <f aca="false">IF($C74="","",SUMIFS(MOVIMIENTOS!$I:$I,MOVIMIENTOS!$D:$D,"Aporte",MOVIMIENTOS!$E:$E,"Anual",MOVIMIENTOS!$J:$J,$C74,MOVIMIENTOS!$B:$B,"&gt;="&amp;DATE(2026,7,1),MOVIMIENTOS!$B:$B,"&lt;"&amp;DATE(2026,8,1)))</f>
        <v/>
      </c>
      <c r="J74" s="5" t="str">
        <f aca="false">IF($C74="","",SUMIFS(MOVIMIENTOS!$I:$I,MOVIMIENTOS!$D:$D,"Aporte",MOVIMIENTOS!$E:$E,"Anual",MOVIMIENTOS!$J:$J,$C74,MOVIMIENTOS!$B:$B,"&gt;="&amp;DATE(2026,8,1),MOVIMIENTOS!$B:$B,"&lt;"&amp;DATE(2026,9,1)))</f>
        <v/>
      </c>
      <c r="K74" s="5" t="str">
        <f aca="false">IF($C74="","",SUMIFS(MOVIMIENTOS!$I:$I,MOVIMIENTOS!$D:$D,"Aporte",MOVIMIENTOS!$E:$E,"Anual",MOVIMIENTOS!$J:$J,$C74,MOVIMIENTOS!$B:$B,"&gt;="&amp;DATE(2026,9,1),MOVIMIENTOS!$B:$B,"&lt;"&amp;DATE(2026,10,1)))</f>
        <v/>
      </c>
      <c r="L74" s="5" t="str">
        <f aca="false">IF($C74="","",SUMIFS(MOVIMIENTOS!$I:$I,MOVIMIENTOS!$D:$D,"Aporte",MOVIMIENTOS!$E:$E,"Anual",MOVIMIENTOS!$J:$J,$C74,MOVIMIENTOS!$B:$B,"&gt;="&amp;DATE(2026,10,1),MOVIMIENTOS!$B:$B,"&lt;"&amp;DATE(2026,11,1)))</f>
        <v/>
      </c>
      <c r="M74" s="5" t="str">
        <f aca="false">IF($C74="","",SUMIFS(MOVIMIENTOS!$I:$I,MOVIMIENTOS!$D:$D,"Aporte",MOVIMIENTOS!$E:$E,"Anual",MOVIMIENTOS!$J:$J,$C74,MOVIMIENTOS!$B:$B,"&gt;="&amp;DATE(2026,11,1),MOVIMIENTOS!$B:$B,"&lt;"&amp;DATE(2026,12,1)))</f>
        <v/>
      </c>
      <c r="N74" s="5" t="str">
        <f aca="false">IF($C74="","",SUMIFS(MOVIMIENTOS!$I:$I,MOVIMIENTOS!$D:$D,"Aporte",MOVIMIENTOS!$E:$E,"Anual",MOVIMIENTOS!$J:$J,$C74,MOVIMIENTOS!$B:$B,"&gt;="&amp;DATE(2026,12,1),MOVIMIENTOS!$B:$B,"&lt;"&amp;DATE(2026,13,1)))</f>
        <v/>
      </c>
      <c r="O74" s="5" t="str">
        <f aca="false">IF($C74="","",SUM(E74:N74))</f>
        <v/>
      </c>
      <c r="P74" s="5" t="str">
        <f aca="false">IF($C74="","",SUMIFS(MOVIMIENTOS!$I:$I,MOVIMIENTOS!$D:$D,"Aporte",MOVIMIENTOS!$E:$E,"Extraordinaria",MOVIMIENTOS!$F:$F,P$4,MOVIMIENTOS!$J:$J,$C74))</f>
        <v/>
      </c>
      <c r="Q74" s="5" t="str">
        <f aca="false">IF($C74="","",SUMIFS(MOVIMIENTOS!$I:$I,MOVIMIENTOS!$D:$D,"Aporte",MOVIMIENTOS!$E:$E,"Extraordinaria",MOVIMIENTOS!$F:$F,Q$4,MOVIMIENTOS!$J:$J,$C74))</f>
        <v/>
      </c>
      <c r="R74" s="5" t="str">
        <f aca="false">IF($C74="","",SUMIFS(MOVIMIENTOS!$I:$I,MOVIMIENTOS!$D:$D,"Aporte",MOVIMIENTOS!$E:$E,"Extraordinaria",MOVIMIENTOS!$F:$F,R$4,MOVIMIENTOS!$J:$J,$C74))</f>
        <v/>
      </c>
      <c r="S74" s="5" t="str">
        <f aca="false">IF($C74="","",SUMIFS(MOVIMIENTOS!$I:$I,MOVIMIENTOS!$D:$D,"Aporte",MOVIMIENTOS!$E:$E,"Extraordinaria",MOVIMIENTOS!$F:$F,S$4,MOVIMIENTOS!$J:$J,$C74))</f>
        <v/>
      </c>
      <c r="T74" s="5" t="str">
        <f aca="false">IF($C74="","",SUMIFS(MOVIMIENTOS!$I:$I,MOVIMIENTOS!$D:$D,"Aporte",MOVIMIENTOS!$E:$E,"Extraordinaria",MOVIMIENTOS!$F:$F,T$4,MOVIMIENTOS!$J:$J,$C74))</f>
        <v/>
      </c>
      <c r="U74" s="5" t="str">
        <f aca="false">IF($C74="","",SUMIFS(MOVIMIENTOS!$I:$I,MOVIMIENTOS!$D:$D,"Aporte",MOVIMIENTOS!$E:$E,"Extraordinaria",MOVIMIENTOS!$F:$F,U$4,MOVIMIENTOS!$J:$J,$C74))</f>
        <v/>
      </c>
      <c r="V74" s="5" t="str">
        <f aca="false">IF($C74="","",SUMIFS(MOVIMIENTOS!$I:$I,MOVIMIENTOS!$D:$D,"Aporte",MOVIMIENTOS!$E:$E,"Extraordinaria",MOVIMIENTOS!$F:$F,V$4,MOVIMIENTOS!$J:$J,$C74))</f>
        <v/>
      </c>
      <c r="W74" s="5" t="str">
        <f aca="false">IF($C74="","",SUM(P74:V74))</f>
        <v/>
      </c>
      <c r="X74" s="5" t="str">
        <f aca="false">IF($C74="","",O74+W74)</f>
        <v/>
      </c>
      <c r="Y74" s="12"/>
    </row>
    <row r="75" customFormat="false" ht="15" hidden="false" customHeight="false" outlineLevel="0" collapsed="false">
      <c r="A75" s="12"/>
      <c r="B75" s="12"/>
      <c r="C75" s="12"/>
      <c r="D75" s="12"/>
      <c r="E75" s="5" t="str">
        <f aca="false">IF($C75="","",SUMIFS(MOVIMIENTOS!$I:$I,MOVIMIENTOS!$D:$D,"Aporte",MOVIMIENTOS!$E:$E,"Anual",MOVIMIENTOS!$J:$J,$C75,MOVIMIENTOS!$B:$B,"&gt;="&amp;DATE(2026,3,1),MOVIMIENTOS!$B:$B,"&lt;"&amp;DATE(2026,4,1)))</f>
        <v/>
      </c>
      <c r="F75" s="5" t="str">
        <f aca="false">IF($C75="","",SUMIFS(MOVIMIENTOS!$I:$I,MOVIMIENTOS!$D:$D,"Aporte",MOVIMIENTOS!$E:$E,"Anual",MOVIMIENTOS!$J:$J,$C75,MOVIMIENTOS!$B:$B,"&gt;="&amp;DATE(2026,4,1),MOVIMIENTOS!$B:$B,"&lt;"&amp;DATE(2026,5,1)))</f>
        <v/>
      </c>
      <c r="G75" s="5" t="str">
        <f aca="false">IF($C75="","",SUMIFS(MOVIMIENTOS!$I:$I,MOVIMIENTOS!$D:$D,"Aporte",MOVIMIENTOS!$E:$E,"Anual",MOVIMIENTOS!$J:$J,$C75,MOVIMIENTOS!$B:$B,"&gt;="&amp;DATE(2026,5,1),MOVIMIENTOS!$B:$B,"&lt;"&amp;DATE(2026,6,1)))</f>
        <v/>
      </c>
      <c r="H75" s="5" t="str">
        <f aca="false">IF($C75="","",SUMIFS(MOVIMIENTOS!$I:$I,MOVIMIENTOS!$D:$D,"Aporte",MOVIMIENTOS!$E:$E,"Anual",MOVIMIENTOS!$J:$J,$C75,MOVIMIENTOS!$B:$B,"&gt;="&amp;DATE(2026,6,1),MOVIMIENTOS!$B:$B,"&lt;"&amp;DATE(2026,7,1)))</f>
        <v/>
      </c>
      <c r="I75" s="5" t="str">
        <f aca="false">IF($C75="","",SUMIFS(MOVIMIENTOS!$I:$I,MOVIMIENTOS!$D:$D,"Aporte",MOVIMIENTOS!$E:$E,"Anual",MOVIMIENTOS!$J:$J,$C75,MOVIMIENTOS!$B:$B,"&gt;="&amp;DATE(2026,7,1),MOVIMIENTOS!$B:$B,"&lt;"&amp;DATE(2026,8,1)))</f>
        <v/>
      </c>
      <c r="J75" s="5" t="str">
        <f aca="false">IF($C75="","",SUMIFS(MOVIMIENTOS!$I:$I,MOVIMIENTOS!$D:$D,"Aporte",MOVIMIENTOS!$E:$E,"Anual",MOVIMIENTOS!$J:$J,$C75,MOVIMIENTOS!$B:$B,"&gt;="&amp;DATE(2026,8,1),MOVIMIENTOS!$B:$B,"&lt;"&amp;DATE(2026,9,1)))</f>
        <v/>
      </c>
      <c r="K75" s="5" t="str">
        <f aca="false">IF($C75="","",SUMIFS(MOVIMIENTOS!$I:$I,MOVIMIENTOS!$D:$D,"Aporte",MOVIMIENTOS!$E:$E,"Anual",MOVIMIENTOS!$J:$J,$C75,MOVIMIENTOS!$B:$B,"&gt;="&amp;DATE(2026,9,1),MOVIMIENTOS!$B:$B,"&lt;"&amp;DATE(2026,10,1)))</f>
        <v/>
      </c>
      <c r="L75" s="5" t="str">
        <f aca="false">IF($C75="","",SUMIFS(MOVIMIENTOS!$I:$I,MOVIMIENTOS!$D:$D,"Aporte",MOVIMIENTOS!$E:$E,"Anual",MOVIMIENTOS!$J:$J,$C75,MOVIMIENTOS!$B:$B,"&gt;="&amp;DATE(2026,10,1),MOVIMIENTOS!$B:$B,"&lt;"&amp;DATE(2026,11,1)))</f>
        <v/>
      </c>
      <c r="M75" s="5" t="str">
        <f aca="false">IF($C75="","",SUMIFS(MOVIMIENTOS!$I:$I,MOVIMIENTOS!$D:$D,"Aporte",MOVIMIENTOS!$E:$E,"Anual",MOVIMIENTOS!$J:$J,$C75,MOVIMIENTOS!$B:$B,"&gt;="&amp;DATE(2026,11,1),MOVIMIENTOS!$B:$B,"&lt;"&amp;DATE(2026,12,1)))</f>
        <v/>
      </c>
      <c r="N75" s="5" t="str">
        <f aca="false">IF($C75="","",SUMIFS(MOVIMIENTOS!$I:$I,MOVIMIENTOS!$D:$D,"Aporte",MOVIMIENTOS!$E:$E,"Anual",MOVIMIENTOS!$J:$J,$C75,MOVIMIENTOS!$B:$B,"&gt;="&amp;DATE(2026,12,1),MOVIMIENTOS!$B:$B,"&lt;"&amp;DATE(2026,13,1)))</f>
        <v/>
      </c>
      <c r="O75" s="5" t="str">
        <f aca="false">IF($C75="","",SUM(E75:N75))</f>
        <v/>
      </c>
      <c r="P75" s="5" t="str">
        <f aca="false">IF($C75="","",SUMIFS(MOVIMIENTOS!$I:$I,MOVIMIENTOS!$D:$D,"Aporte",MOVIMIENTOS!$E:$E,"Extraordinaria",MOVIMIENTOS!$F:$F,P$4,MOVIMIENTOS!$J:$J,$C75))</f>
        <v/>
      </c>
      <c r="Q75" s="5" t="str">
        <f aca="false">IF($C75="","",SUMIFS(MOVIMIENTOS!$I:$I,MOVIMIENTOS!$D:$D,"Aporte",MOVIMIENTOS!$E:$E,"Extraordinaria",MOVIMIENTOS!$F:$F,Q$4,MOVIMIENTOS!$J:$J,$C75))</f>
        <v/>
      </c>
      <c r="R75" s="5" t="str">
        <f aca="false">IF($C75="","",SUMIFS(MOVIMIENTOS!$I:$I,MOVIMIENTOS!$D:$D,"Aporte",MOVIMIENTOS!$E:$E,"Extraordinaria",MOVIMIENTOS!$F:$F,R$4,MOVIMIENTOS!$J:$J,$C75))</f>
        <v/>
      </c>
      <c r="S75" s="5" t="str">
        <f aca="false">IF($C75="","",SUMIFS(MOVIMIENTOS!$I:$I,MOVIMIENTOS!$D:$D,"Aporte",MOVIMIENTOS!$E:$E,"Extraordinaria",MOVIMIENTOS!$F:$F,S$4,MOVIMIENTOS!$J:$J,$C75))</f>
        <v/>
      </c>
      <c r="T75" s="5" t="str">
        <f aca="false">IF($C75="","",SUMIFS(MOVIMIENTOS!$I:$I,MOVIMIENTOS!$D:$D,"Aporte",MOVIMIENTOS!$E:$E,"Extraordinaria",MOVIMIENTOS!$F:$F,T$4,MOVIMIENTOS!$J:$J,$C75))</f>
        <v/>
      </c>
      <c r="U75" s="5" t="str">
        <f aca="false">IF($C75="","",SUMIFS(MOVIMIENTOS!$I:$I,MOVIMIENTOS!$D:$D,"Aporte",MOVIMIENTOS!$E:$E,"Extraordinaria",MOVIMIENTOS!$F:$F,U$4,MOVIMIENTOS!$J:$J,$C75))</f>
        <v/>
      </c>
      <c r="V75" s="5" t="str">
        <f aca="false">IF($C75="","",SUMIFS(MOVIMIENTOS!$I:$I,MOVIMIENTOS!$D:$D,"Aporte",MOVIMIENTOS!$E:$E,"Extraordinaria",MOVIMIENTOS!$F:$F,V$4,MOVIMIENTOS!$J:$J,$C75))</f>
        <v/>
      </c>
      <c r="W75" s="5" t="str">
        <f aca="false">IF($C75="","",SUM(P75:V75))</f>
        <v/>
      </c>
      <c r="X75" s="5" t="str">
        <f aca="false">IF($C75="","",O75+W75)</f>
        <v/>
      </c>
      <c r="Y75" s="12"/>
    </row>
    <row r="76" customFormat="false" ht="15" hidden="false" customHeight="false" outlineLevel="0" collapsed="false">
      <c r="A76" s="12"/>
      <c r="B76" s="12"/>
      <c r="C76" s="12"/>
      <c r="D76" s="12"/>
      <c r="E76" s="5" t="str">
        <f aca="false">IF($C76="","",SUMIFS(MOVIMIENTOS!$I:$I,MOVIMIENTOS!$D:$D,"Aporte",MOVIMIENTOS!$E:$E,"Anual",MOVIMIENTOS!$J:$J,$C76,MOVIMIENTOS!$B:$B,"&gt;="&amp;DATE(2026,3,1),MOVIMIENTOS!$B:$B,"&lt;"&amp;DATE(2026,4,1)))</f>
        <v/>
      </c>
      <c r="F76" s="5" t="str">
        <f aca="false">IF($C76="","",SUMIFS(MOVIMIENTOS!$I:$I,MOVIMIENTOS!$D:$D,"Aporte",MOVIMIENTOS!$E:$E,"Anual",MOVIMIENTOS!$J:$J,$C76,MOVIMIENTOS!$B:$B,"&gt;="&amp;DATE(2026,4,1),MOVIMIENTOS!$B:$B,"&lt;"&amp;DATE(2026,5,1)))</f>
        <v/>
      </c>
      <c r="G76" s="5" t="str">
        <f aca="false">IF($C76="","",SUMIFS(MOVIMIENTOS!$I:$I,MOVIMIENTOS!$D:$D,"Aporte",MOVIMIENTOS!$E:$E,"Anual",MOVIMIENTOS!$J:$J,$C76,MOVIMIENTOS!$B:$B,"&gt;="&amp;DATE(2026,5,1),MOVIMIENTOS!$B:$B,"&lt;"&amp;DATE(2026,6,1)))</f>
        <v/>
      </c>
      <c r="H76" s="5" t="str">
        <f aca="false">IF($C76="","",SUMIFS(MOVIMIENTOS!$I:$I,MOVIMIENTOS!$D:$D,"Aporte",MOVIMIENTOS!$E:$E,"Anual",MOVIMIENTOS!$J:$J,$C76,MOVIMIENTOS!$B:$B,"&gt;="&amp;DATE(2026,6,1),MOVIMIENTOS!$B:$B,"&lt;"&amp;DATE(2026,7,1)))</f>
        <v/>
      </c>
      <c r="I76" s="5" t="str">
        <f aca="false">IF($C76="","",SUMIFS(MOVIMIENTOS!$I:$I,MOVIMIENTOS!$D:$D,"Aporte",MOVIMIENTOS!$E:$E,"Anual",MOVIMIENTOS!$J:$J,$C76,MOVIMIENTOS!$B:$B,"&gt;="&amp;DATE(2026,7,1),MOVIMIENTOS!$B:$B,"&lt;"&amp;DATE(2026,8,1)))</f>
        <v/>
      </c>
      <c r="J76" s="5" t="str">
        <f aca="false">IF($C76="","",SUMIFS(MOVIMIENTOS!$I:$I,MOVIMIENTOS!$D:$D,"Aporte",MOVIMIENTOS!$E:$E,"Anual",MOVIMIENTOS!$J:$J,$C76,MOVIMIENTOS!$B:$B,"&gt;="&amp;DATE(2026,8,1),MOVIMIENTOS!$B:$B,"&lt;"&amp;DATE(2026,9,1)))</f>
        <v/>
      </c>
      <c r="K76" s="5" t="str">
        <f aca="false">IF($C76="","",SUMIFS(MOVIMIENTOS!$I:$I,MOVIMIENTOS!$D:$D,"Aporte",MOVIMIENTOS!$E:$E,"Anual",MOVIMIENTOS!$J:$J,$C76,MOVIMIENTOS!$B:$B,"&gt;="&amp;DATE(2026,9,1),MOVIMIENTOS!$B:$B,"&lt;"&amp;DATE(2026,10,1)))</f>
        <v/>
      </c>
      <c r="L76" s="5" t="str">
        <f aca="false">IF($C76="","",SUMIFS(MOVIMIENTOS!$I:$I,MOVIMIENTOS!$D:$D,"Aporte",MOVIMIENTOS!$E:$E,"Anual",MOVIMIENTOS!$J:$J,$C76,MOVIMIENTOS!$B:$B,"&gt;="&amp;DATE(2026,10,1),MOVIMIENTOS!$B:$B,"&lt;"&amp;DATE(2026,11,1)))</f>
        <v/>
      </c>
      <c r="M76" s="5" t="str">
        <f aca="false">IF($C76="","",SUMIFS(MOVIMIENTOS!$I:$I,MOVIMIENTOS!$D:$D,"Aporte",MOVIMIENTOS!$E:$E,"Anual",MOVIMIENTOS!$J:$J,$C76,MOVIMIENTOS!$B:$B,"&gt;="&amp;DATE(2026,11,1),MOVIMIENTOS!$B:$B,"&lt;"&amp;DATE(2026,12,1)))</f>
        <v/>
      </c>
      <c r="N76" s="5" t="str">
        <f aca="false">IF($C76="","",SUMIFS(MOVIMIENTOS!$I:$I,MOVIMIENTOS!$D:$D,"Aporte",MOVIMIENTOS!$E:$E,"Anual",MOVIMIENTOS!$J:$J,$C76,MOVIMIENTOS!$B:$B,"&gt;="&amp;DATE(2026,12,1),MOVIMIENTOS!$B:$B,"&lt;"&amp;DATE(2026,13,1)))</f>
        <v/>
      </c>
      <c r="O76" s="5" t="str">
        <f aca="false">IF($C76="","",SUM(E76:N76))</f>
        <v/>
      </c>
      <c r="P76" s="5" t="str">
        <f aca="false">IF($C76="","",SUMIFS(MOVIMIENTOS!$I:$I,MOVIMIENTOS!$D:$D,"Aporte",MOVIMIENTOS!$E:$E,"Extraordinaria",MOVIMIENTOS!$F:$F,P$4,MOVIMIENTOS!$J:$J,$C76))</f>
        <v/>
      </c>
      <c r="Q76" s="5" t="str">
        <f aca="false">IF($C76="","",SUMIFS(MOVIMIENTOS!$I:$I,MOVIMIENTOS!$D:$D,"Aporte",MOVIMIENTOS!$E:$E,"Extraordinaria",MOVIMIENTOS!$F:$F,Q$4,MOVIMIENTOS!$J:$J,$C76))</f>
        <v/>
      </c>
      <c r="R76" s="5" t="str">
        <f aca="false">IF($C76="","",SUMIFS(MOVIMIENTOS!$I:$I,MOVIMIENTOS!$D:$D,"Aporte",MOVIMIENTOS!$E:$E,"Extraordinaria",MOVIMIENTOS!$F:$F,R$4,MOVIMIENTOS!$J:$J,$C76))</f>
        <v/>
      </c>
      <c r="S76" s="5" t="str">
        <f aca="false">IF($C76="","",SUMIFS(MOVIMIENTOS!$I:$I,MOVIMIENTOS!$D:$D,"Aporte",MOVIMIENTOS!$E:$E,"Extraordinaria",MOVIMIENTOS!$F:$F,S$4,MOVIMIENTOS!$J:$J,$C76))</f>
        <v/>
      </c>
      <c r="T76" s="5" t="str">
        <f aca="false">IF($C76="","",SUMIFS(MOVIMIENTOS!$I:$I,MOVIMIENTOS!$D:$D,"Aporte",MOVIMIENTOS!$E:$E,"Extraordinaria",MOVIMIENTOS!$F:$F,T$4,MOVIMIENTOS!$J:$J,$C76))</f>
        <v/>
      </c>
      <c r="U76" s="5" t="str">
        <f aca="false">IF($C76="","",SUMIFS(MOVIMIENTOS!$I:$I,MOVIMIENTOS!$D:$D,"Aporte",MOVIMIENTOS!$E:$E,"Extraordinaria",MOVIMIENTOS!$F:$F,U$4,MOVIMIENTOS!$J:$J,$C76))</f>
        <v/>
      </c>
      <c r="V76" s="5" t="str">
        <f aca="false">IF($C76="","",SUMIFS(MOVIMIENTOS!$I:$I,MOVIMIENTOS!$D:$D,"Aporte",MOVIMIENTOS!$E:$E,"Extraordinaria",MOVIMIENTOS!$F:$F,V$4,MOVIMIENTOS!$J:$J,$C76))</f>
        <v/>
      </c>
      <c r="W76" s="5" t="str">
        <f aca="false">IF($C76="","",SUM(P76:V76))</f>
        <v/>
      </c>
      <c r="X76" s="5" t="str">
        <f aca="false">IF($C76="","",O76+W76)</f>
        <v/>
      </c>
      <c r="Y76" s="12"/>
    </row>
    <row r="77" customFormat="false" ht="15" hidden="false" customHeight="false" outlineLevel="0" collapsed="false">
      <c r="A77" s="12"/>
      <c r="B77" s="12"/>
      <c r="C77" s="12"/>
      <c r="D77" s="12"/>
      <c r="E77" s="5" t="str">
        <f aca="false">IF($C77="","",SUMIFS(MOVIMIENTOS!$I:$I,MOVIMIENTOS!$D:$D,"Aporte",MOVIMIENTOS!$E:$E,"Anual",MOVIMIENTOS!$J:$J,$C77,MOVIMIENTOS!$B:$B,"&gt;="&amp;DATE(2026,3,1),MOVIMIENTOS!$B:$B,"&lt;"&amp;DATE(2026,4,1)))</f>
        <v/>
      </c>
      <c r="F77" s="5" t="str">
        <f aca="false">IF($C77="","",SUMIFS(MOVIMIENTOS!$I:$I,MOVIMIENTOS!$D:$D,"Aporte",MOVIMIENTOS!$E:$E,"Anual",MOVIMIENTOS!$J:$J,$C77,MOVIMIENTOS!$B:$B,"&gt;="&amp;DATE(2026,4,1),MOVIMIENTOS!$B:$B,"&lt;"&amp;DATE(2026,5,1)))</f>
        <v/>
      </c>
      <c r="G77" s="5" t="str">
        <f aca="false">IF($C77="","",SUMIFS(MOVIMIENTOS!$I:$I,MOVIMIENTOS!$D:$D,"Aporte",MOVIMIENTOS!$E:$E,"Anual",MOVIMIENTOS!$J:$J,$C77,MOVIMIENTOS!$B:$B,"&gt;="&amp;DATE(2026,5,1),MOVIMIENTOS!$B:$B,"&lt;"&amp;DATE(2026,6,1)))</f>
        <v/>
      </c>
      <c r="H77" s="5" t="str">
        <f aca="false">IF($C77="","",SUMIFS(MOVIMIENTOS!$I:$I,MOVIMIENTOS!$D:$D,"Aporte",MOVIMIENTOS!$E:$E,"Anual",MOVIMIENTOS!$J:$J,$C77,MOVIMIENTOS!$B:$B,"&gt;="&amp;DATE(2026,6,1),MOVIMIENTOS!$B:$B,"&lt;"&amp;DATE(2026,7,1)))</f>
        <v/>
      </c>
      <c r="I77" s="5" t="str">
        <f aca="false">IF($C77="","",SUMIFS(MOVIMIENTOS!$I:$I,MOVIMIENTOS!$D:$D,"Aporte",MOVIMIENTOS!$E:$E,"Anual",MOVIMIENTOS!$J:$J,$C77,MOVIMIENTOS!$B:$B,"&gt;="&amp;DATE(2026,7,1),MOVIMIENTOS!$B:$B,"&lt;"&amp;DATE(2026,8,1)))</f>
        <v/>
      </c>
      <c r="J77" s="5" t="str">
        <f aca="false">IF($C77="","",SUMIFS(MOVIMIENTOS!$I:$I,MOVIMIENTOS!$D:$D,"Aporte",MOVIMIENTOS!$E:$E,"Anual",MOVIMIENTOS!$J:$J,$C77,MOVIMIENTOS!$B:$B,"&gt;="&amp;DATE(2026,8,1),MOVIMIENTOS!$B:$B,"&lt;"&amp;DATE(2026,9,1)))</f>
        <v/>
      </c>
      <c r="K77" s="5" t="str">
        <f aca="false">IF($C77="","",SUMIFS(MOVIMIENTOS!$I:$I,MOVIMIENTOS!$D:$D,"Aporte",MOVIMIENTOS!$E:$E,"Anual",MOVIMIENTOS!$J:$J,$C77,MOVIMIENTOS!$B:$B,"&gt;="&amp;DATE(2026,9,1),MOVIMIENTOS!$B:$B,"&lt;"&amp;DATE(2026,10,1)))</f>
        <v/>
      </c>
      <c r="L77" s="5" t="str">
        <f aca="false">IF($C77="","",SUMIFS(MOVIMIENTOS!$I:$I,MOVIMIENTOS!$D:$D,"Aporte",MOVIMIENTOS!$E:$E,"Anual",MOVIMIENTOS!$J:$J,$C77,MOVIMIENTOS!$B:$B,"&gt;="&amp;DATE(2026,10,1),MOVIMIENTOS!$B:$B,"&lt;"&amp;DATE(2026,11,1)))</f>
        <v/>
      </c>
      <c r="M77" s="5" t="str">
        <f aca="false">IF($C77="","",SUMIFS(MOVIMIENTOS!$I:$I,MOVIMIENTOS!$D:$D,"Aporte",MOVIMIENTOS!$E:$E,"Anual",MOVIMIENTOS!$J:$J,$C77,MOVIMIENTOS!$B:$B,"&gt;="&amp;DATE(2026,11,1),MOVIMIENTOS!$B:$B,"&lt;"&amp;DATE(2026,12,1)))</f>
        <v/>
      </c>
      <c r="N77" s="5" t="str">
        <f aca="false">IF($C77="","",SUMIFS(MOVIMIENTOS!$I:$I,MOVIMIENTOS!$D:$D,"Aporte",MOVIMIENTOS!$E:$E,"Anual",MOVIMIENTOS!$J:$J,$C77,MOVIMIENTOS!$B:$B,"&gt;="&amp;DATE(2026,12,1),MOVIMIENTOS!$B:$B,"&lt;"&amp;DATE(2026,13,1)))</f>
        <v/>
      </c>
      <c r="O77" s="5" t="str">
        <f aca="false">IF($C77="","",SUM(E77:N77))</f>
        <v/>
      </c>
      <c r="P77" s="5" t="str">
        <f aca="false">IF($C77="","",SUMIFS(MOVIMIENTOS!$I:$I,MOVIMIENTOS!$D:$D,"Aporte",MOVIMIENTOS!$E:$E,"Extraordinaria",MOVIMIENTOS!$F:$F,P$4,MOVIMIENTOS!$J:$J,$C77))</f>
        <v/>
      </c>
      <c r="Q77" s="5" t="str">
        <f aca="false">IF($C77="","",SUMIFS(MOVIMIENTOS!$I:$I,MOVIMIENTOS!$D:$D,"Aporte",MOVIMIENTOS!$E:$E,"Extraordinaria",MOVIMIENTOS!$F:$F,Q$4,MOVIMIENTOS!$J:$J,$C77))</f>
        <v/>
      </c>
      <c r="R77" s="5" t="str">
        <f aca="false">IF($C77="","",SUMIFS(MOVIMIENTOS!$I:$I,MOVIMIENTOS!$D:$D,"Aporte",MOVIMIENTOS!$E:$E,"Extraordinaria",MOVIMIENTOS!$F:$F,R$4,MOVIMIENTOS!$J:$J,$C77))</f>
        <v/>
      </c>
      <c r="S77" s="5" t="str">
        <f aca="false">IF($C77="","",SUMIFS(MOVIMIENTOS!$I:$I,MOVIMIENTOS!$D:$D,"Aporte",MOVIMIENTOS!$E:$E,"Extraordinaria",MOVIMIENTOS!$F:$F,S$4,MOVIMIENTOS!$J:$J,$C77))</f>
        <v/>
      </c>
      <c r="T77" s="5" t="str">
        <f aca="false">IF($C77="","",SUMIFS(MOVIMIENTOS!$I:$I,MOVIMIENTOS!$D:$D,"Aporte",MOVIMIENTOS!$E:$E,"Extraordinaria",MOVIMIENTOS!$F:$F,T$4,MOVIMIENTOS!$J:$J,$C77))</f>
        <v/>
      </c>
      <c r="U77" s="5" t="str">
        <f aca="false">IF($C77="","",SUMIFS(MOVIMIENTOS!$I:$I,MOVIMIENTOS!$D:$D,"Aporte",MOVIMIENTOS!$E:$E,"Extraordinaria",MOVIMIENTOS!$F:$F,U$4,MOVIMIENTOS!$J:$J,$C77))</f>
        <v/>
      </c>
      <c r="V77" s="5" t="str">
        <f aca="false">IF($C77="","",SUMIFS(MOVIMIENTOS!$I:$I,MOVIMIENTOS!$D:$D,"Aporte",MOVIMIENTOS!$E:$E,"Extraordinaria",MOVIMIENTOS!$F:$F,V$4,MOVIMIENTOS!$J:$J,$C77))</f>
        <v/>
      </c>
      <c r="W77" s="5" t="str">
        <f aca="false">IF($C77="","",SUM(P77:V77))</f>
        <v/>
      </c>
      <c r="X77" s="5" t="str">
        <f aca="false">IF($C77="","",O77+W77)</f>
        <v/>
      </c>
      <c r="Y77" s="12"/>
    </row>
    <row r="78" customFormat="false" ht="15" hidden="false" customHeight="false" outlineLevel="0" collapsed="false">
      <c r="A78" s="12"/>
      <c r="B78" s="12"/>
      <c r="C78" s="12"/>
      <c r="D78" s="12"/>
      <c r="E78" s="5" t="str">
        <f aca="false">IF($C78="","",SUMIFS(MOVIMIENTOS!$I:$I,MOVIMIENTOS!$D:$D,"Aporte",MOVIMIENTOS!$E:$E,"Anual",MOVIMIENTOS!$J:$J,$C78,MOVIMIENTOS!$B:$B,"&gt;="&amp;DATE(2026,3,1),MOVIMIENTOS!$B:$B,"&lt;"&amp;DATE(2026,4,1)))</f>
        <v/>
      </c>
      <c r="F78" s="5" t="str">
        <f aca="false">IF($C78="","",SUMIFS(MOVIMIENTOS!$I:$I,MOVIMIENTOS!$D:$D,"Aporte",MOVIMIENTOS!$E:$E,"Anual",MOVIMIENTOS!$J:$J,$C78,MOVIMIENTOS!$B:$B,"&gt;="&amp;DATE(2026,4,1),MOVIMIENTOS!$B:$B,"&lt;"&amp;DATE(2026,5,1)))</f>
        <v/>
      </c>
      <c r="G78" s="5" t="str">
        <f aca="false">IF($C78="","",SUMIFS(MOVIMIENTOS!$I:$I,MOVIMIENTOS!$D:$D,"Aporte",MOVIMIENTOS!$E:$E,"Anual",MOVIMIENTOS!$J:$J,$C78,MOVIMIENTOS!$B:$B,"&gt;="&amp;DATE(2026,5,1),MOVIMIENTOS!$B:$B,"&lt;"&amp;DATE(2026,6,1)))</f>
        <v/>
      </c>
      <c r="H78" s="5" t="str">
        <f aca="false">IF($C78="","",SUMIFS(MOVIMIENTOS!$I:$I,MOVIMIENTOS!$D:$D,"Aporte",MOVIMIENTOS!$E:$E,"Anual",MOVIMIENTOS!$J:$J,$C78,MOVIMIENTOS!$B:$B,"&gt;="&amp;DATE(2026,6,1),MOVIMIENTOS!$B:$B,"&lt;"&amp;DATE(2026,7,1)))</f>
        <v/>
      </c>
      <c r="I78" s="5" t="str">
        <f aca="false">IF($C78="","",SUMIFS(MOVIMIENTOS!$I:$I,MOVIMIENTOS!$D:$D,"Aporte",MOVIMIENTOS!$E:$E,"Anual",MOVIMIENTOS!$J:$J,$C78,MOVIMIENTOS!$B:$B,"&gt;="&amp;DATE(2026,7,1),MOVIMIENTOS!$B:$B,"&lt;"&amp;DATE(2026,8,1)))</f>
        <v/>
      </c>
      <c r="J78" s="5" t="str">
        <f aca="false">IF($C78="","",SUMIFS(MOVIMIENTOS!$I:$I,MOVIMIENTOS!$D:$D,"Aporte",MOVIMIENTOS!$E:$E,"Anual",MOVIMIENTOS!$J:$J,$C78,MOVIMIENTOS!$B:$B,"&gt;="&amp;DATE(2026,8,1),MOVIMIENTOS!$B:$B,"&lt;"&amp;DATE(2026,9,1)))</f>
        <v/>
      </c>
      <c r="K78" s="5" t="str">
        <f aca="false">IF($C78="","",SUMIFS(MOVIMIENTOS!$I:$I,MOVIMIENTOS!$D:$D,"Aporte",MOVIMIENTOS!$E:$E,"Anual",MOVIMIENTOS!$J:$J,$C78,MOVIMIENTOS!$B:$B,"&gt;="&amp;DATE(2026,9,1),MOVIMIENTOS!$B:$B,"&lt;"&amp;DATE(2026,10,1)))</f>
        <v/>
      </c>
      <c r="L78" s="5" t="str">
        <f aca="false">IF($C78="","",SUMIFS(MOVIMIENTOS!$I:$I,MOVIMIENTOS!$D:$D,"Aporte",MOVIMIENTOS!$E:$E,"Anual",MOVIMIENTOS!$J:$J,$C78,MOVIMIENTOS!$B:$B,"&gt;="&amp;DATE(2026,10,1),MOVIMIENTOS!$B:$B,"&lt;"&amp;DATE(2026,11,1)))</f>
        <v/>
      </c>
      <c r="M78" s="5" t="str">
        <f aca="false">IF($C78="","",SUMIFS(MOVIMIENTOS!$I:$I,MOVIMIENTOS!$D:$D,"Aporte",MOVIMIENTOS!$E:$E,"Anual",MOVIMIENTOS!$J:$J,$C78,MOVIMIENTOS!$B:$B,"&gt;="&amp;DATE(2026,11,1),MOVIMIENTOS!$B:$B,"&lt;"&amp;DATE(2026,12,1)))</f>
        <v/>
      </c>
      <c r="N78" s="5" t="str">
        <f aca="false">IF($C78="","",SUMIFS(MOVIMIENTOS!$I:$I,MOVIMIENTOS!$D:$D,"Aporte",MOVIMIENTOS!$E:$E,"Anual",MOVIMIENTOS!$J:$J,$C78,MOVIMIENTOS!$B:$B,"&gt;="&amp;DATE(2026,12,1),MOVIMIENTOS!$B:$B,"&lt;"&amp;DATE(2026,13,1)))</f>
        <v/>
      </c>
      <c r="O78" s="5" t="str">
        <f aca="false">IF($C78="","",SUM(E78:N78))</f>
        <v/>
      </c>
      <c r="P78" s="5" t="str">
        <f aca="false">IF($C78="","",SUMIFS(MOVIMIENTOS!$I:$I,MOVIMIENTOS!$D:$D,"Aporte",MOVIMIENTOS!$E:$E,"Extraordinaria",MOVIMIENTOS!$F:$F,P$4,MOVIMIENTOS!$J:$J,$C78))</f>
        <v/>
      </c>
      <c r="Q78" s="5" t="str">
        <f aca="false">IF($C78="","",SUMIFS(MOVIMIENTOS!$I:$I,MOVIMIENTOS!$D:$D,"Aporte",MOVIMIENTOS!$E:$E,"Extraordinaria",MOVIMIENTOS!$F:$F,Q$4,MOVIMIENTOS!$J:$J,$C78))</f>
        <v/>
      </c>
      <c r="R78" s="5" t="str">
        <f aca="false">IF($C78="","",SUMIFS(MOVIMIENTOS!$I:$I,MOVIMIENTOS!$D:$D,"Aporte",MOVIMIENTOS!$E:$E,"Extraordinaria",MOVIMIENTOS!$F:$F,R$4,MOVIMIENTOS!$J:$J,$C78))</f>
        <v/>
      </c>
      <c r="S78" s="5" t="str">
        <f aca="false">IF($C78="","",SUMIFS(MOVIMIENTOS!$I:$I,MOVIMIENTOS!$D:$D,"Aporte",MOVIMIENTOS!$E:$E,"Extraordinaria",MOVIMIENTOS!$F:$F,S$4,MOVIMIENTOS!$J:$J,$C78))</f>
        <v/>
      </c>
      <c r="T78" s="5" t="str">
        <f aca="false">IF($C78="","",SUMIFS(MOVIMIENTOS!$I:$I,MOVIMIENTOS!$D:$D,"Aporte",MOVIMIENTOS!$E:$E,"Extraordinaria",MOVIMIENTOS!$F:$F,T$4,MOVIMIENTOS!$J:$J,$C78))</f>
        <v/>
      </c>
      <c r="U78" s="5" t="str">
        <f aca="false">IF($C78="","",SUMIFS(MOVIMIENTOS!$I:$I,MOVIMIENTOS!$D:$D,"Aporte",MOVIMIENTOS!$E:$E,"Extraordinaria",MOVIMIENTOS!$F:$F,U$4,MOVIMIENTOS!$J:$J,$C78))</f>
        <v/>
      </c>
      <c r="V78" s="5" t="str">
        <f aca="false">IF($C78="","",SUMIFS(MOVIMIENTOS!$I:$I,MOVIMIENTOS!$D:$D,"Aporte",MOVIMIENTOS!$E:$E,"Extraordinaria",MOVIMIENTOS!$F:$F,V$4,MOVIMIENTOS!$J:$J,$C78))</f>
        <v/>
      </c>
      <c r="W78" s="5" t="str">
        <f aca="false">IF($C78="","",SUM(P78:V78))</f>
        <v/>
      </c>
      <c r="X78" s="5" t="str">
        <f aca="false">IF($C78="","",O78+W78)</f>
        <v/>
      </c>
      <c r="Y78" s="12"/>
    </row>
    <row r="79" customFormat="false" ht="15" hidden="false" customHeight="false" outlineLevel="0" collapsed="false">
      <c r="A79" s="12"/>
      <c r="B79" s="12"/>
      <c r="C79" s="12"/>
      <c r="D79" s="12"/>
      <c r="E79" s="5" t="str">
        <f aca="false">IF($C79="","",SUMIFS(MOVIMIENTOS!$I:$I,MOVIMIENTOS!$D:$D,"Aporte",MOVIMIENTOS!$E:$E,"Anual",MOVIMIENTOS!$J:$J,$C79,MOVIMIENTOS!$B:$B,"&gt;="&amp;DATE(2026,3,1),MOVIMIENTOS!$B:$B,"&lt;"&amp;DATE(2026,4,1)))</f>
        <v/>
      </c>
      <c r="F79" s="5" t="str">
        <f aca="false">IF($C79="","",SUMIFS(MOVIMIENTOS!$I:$I,MOVIMIENTOS!$D:$D,"Aporte",MOVIMIENTOS!$E:$E,"Anual",MOVIMIENTOS!$J:$J,$C79,MOVIMIENTOS!$B:$B,"&gt;="&amp;DATE(2026,4,1),MOVIMIENTOS!$B:$B,"&lt;"&amp;DATE(2026,5,1)))</f>
        <v/>
      </c>
      <c r="G79" s="5" t="str">
        <f aca="false">IF($C79="","",SUMIFS(MOVIMIENTOS!$I:$I,MOVIMIENTOS!$D:$D,"Aporte",MOVIMIENTOS!$E:$E,"Anual",MOVIMIENTOS!$J:$J,$C79,MOVIMIENTOS!$B:$B,"&gt;="&amp;DATE(2026,5,1),MOVIMIENTOS!$B:$B,"&lt;"&amp;DATE(2026,6,1)))</f>
        <v/>
      </c>
      <c r="H79" s="5" t="str">
        <f aca="false">IF($C79="","",SUMIFS(MOVIMIENTOS!$I:$I,MOVIMIENTOS!$D:$D,"Aporte",MOVIMIENTOS!$E:$E,"Anual",MOVIMIENTOS!$J:$J,$C79,MOVIMIENTOS!$B:$B,"&gt;="&amp;DATE(2026,6,1),MOVIMIENTOS!$B:$B,"&lt;"&amp;DATE(2026,7,1)))</f>
        <v/>
      </c>
      <c r="I79" s="5" t="str">
        <f aca="false">IF($C79="","",SUMIFS(MOVIMIENTOS!$I:$I,MOVIMIENTOS!$D:$D,"Aporte",MOVIMIENTOS!$E:$E,"Anual",MOVIMIENTOS!$J:$J,$C79,MOVIMIENTOS!$B:$B,"&gt;="&amp;DATE(2026,7,1),MOVIMIENTOS!$B:$B,"&lt;"&amp;DATE(2026,8,1)))</f>
        <v/>
      </c>
      <c r="J79" s="5" t="str">
        <f aca="false">IF($C79="","",SUMIFS(MOVIMIENTOS!$I:$I,MOVIMIENTOS!$D:$D,"Aporte",MOVIMIENTOS!$E:$E,"Anual",MOVIMIENTOS!$J:$J,$C79,MOVIMIENTOS!$B:$B,"&gt;="&amp;DATE(2026,8,1),MOVIMIENTOS!$B:$B,"&lt;"&amp;DATE(2026,9,1)))</f>
        <v/>
      </c>
      <c r="K79" s="5" t="str">
        <f aca="false">IF($C79="","",SUMIFS(MOVIMIENTOS!$I:$I,MOVIMIENTOS!$D:$D,"Aporte",MOVIMIENTOS!$E:$E,"Anual",MOVIMIENTOS!$J:$J,$C79,MOVIMIENTOS!$B:$B,"&gt;="&amp;DATE(2026,9,1),MOVIMIENTOS!$B:$B,"&lt;"&amp;DATE(2026,10,1)))</f>
        <v/>
      </c>
      <c r="L79" s="5" t="str">
        <f aca="false">IF($C79="","",SUMIFS(MOVIMIENTOS!$I:$I,MOVIMIENTOS!$D:$D,"Aporte",MOVIMIENTOS!$E:$E,"Anual",MOVIMIENTOS!$J:$J,$C79,MOVIMIENTOS!$B:$B,"&gt;="&amp;DATE(2026,10,1),MOVIMIENTOS!$B:$B,"&lt;"&amp;DATE(2026,11,1)))</f>
        <v/>
      </c>
      <c r="M79" s="5" t="str">
        <f aca="false">IF($C79="","",SUMIFS(MOVIMIENTOS!$I:$I,MOVIMIENTOS!$D:$D,"Aporte",MOVIMIENTOS!$E:$E,"Anual",MOVIMIENTOS!$J:$J,$C79,MOVIMIENTOS!$B:$B,"&gt;="&amp;DATE(2026,11,1),MOVIMIENTOS!$B:$B,"&lt;"&amp;DATE(2026,12,1)))</f>
        <v/>
      </c>
      <c r="N79" s="5" t="str">
        <f aca="false">IF($C79="","",SUMIFS(MOVIMIENTOS!$I:$I,MOVIMIENTOS!$D:$D,"Aporte",MOVIMIENTOS!$E:$E,"Anual",MOVIMIENTOS!$J:$J,$C79,MOVIMIENTOS!$B:$B,"&gt;="&amp;DATE(2026,12,1),MOVIMIENTOS!$B:$B,"&lt;"&amp;DATE(2026,13,1)))</f>
        <v/>
      </c>
      <c r="O79" s="5" t="str">
        <f aca="false">IF($C79="","",SUM(E79:N79))</f>
        <v/>
      </c>
      <c r="P79" s="5" t="str">
        <f aca="false">IF($C79="","",SUMIFS(MOVIMIENTOS!$I:$I,MOVIMIENTOS!$D:$D,"Aporte",MOVIMIENTOS!$E:$E,"Extraordinaria",MOVIMIENTOS!$F:$F,P$4,MOVIMIENTOS!$J:$J,$C79))</f>
        <v/>
      </c>
      <c r="Q79" s="5" t="str">
        <f aca="false">IF($C79="","",SUMIFS(MOVIMIENTOS!$I:$I,MOVIMIENTOS!$D:$D,"Aporte",MOVIMIENTOS!$E:$E,"Extraordinaria",MOVIMIENTOS!$F:$F,Q$4,MOVIMIENTOS!$J:$J,$C79))</f>
        <v/>
      </c>
      <c r="R79" s="5" t="str">
        <f aca="false">IF($C79="","",SUMIFS(MOVIMIENTOS!$I:$I,MOVIMIENTOS!$D:$D,"Aporte",MOVIMIENTOS!$E:$E,"Extraordinaria",MOVIMIENTOS!$F:$F,R$4,MOVIMIENTOS!$J:$J,$C79))</f>
        <v/>
      </c>
      <c r="S79" s="5" t="str">
        <f aca="false">IF($C79="","",SUMIFS(MOVIMIENTOS!$I:$I,MOVIMIENTOS!$D:$D,"Aporte",MOVIMIENTOS!$E:$E,"Extraordinaria",MOVIMIENTOS!$F:$F,S$4,MOVIMIENTOS!$J:$J,$C79))</f>
        <v/>
      </c>
      <c r="T79" s="5" t="str">
        <f aca="false">IF($C79="","",SUMIFS(MOVIMIENTOS!$I:$I,MOVIMIENTOS!$D:$D,"Aporte",MOVIMIENTOS!$E:$E,"Extraordinaria",MOVIMIENTOS!$F:$F,T$4,MOVIMIENTOS!$J:$J,$C79))</f>
        <v/>
      </c>
      <c r="U79" s="5" t="str">
        <f aca="false">IF($C79="","",SUMIFS(MOVIMIENTOS!$I:$I,MOVIMIENTOS!$D:$D,"Aporte",MOVIMIENTOS!$E:$E,"Extraordinaria",MOVIMIENTOS!$F:$F,U$4,MOVIMIENTOS!$J:$J,$C79))</f>
        <v/>
      </c>
      <c r="V79" s="5" t="str">
        <f aca="false">IF($C79="","",SUMIFS(MOVIMIENTOS!$I:$I,MOVIMIENTOS!$D:$D,"Aporte",MOVIMIENTOS!$E:$E,"Extraordinaria",MOVIMIENTOS!$F:$F,V$4,MOVIMIENTOS!$J:$J,$C79))</f>
        <v/>
      </c>
      <c r="W79" s="5" t="str">
        <f aca="false">IF($C79="","",SUM(P79:V79))</f>
        <v/>
      </c>
      <c r="X79" s="5" t="str">
        <f aca="false">IF($C79="","",O79+W79)</f>
        <v/>
      </c>
      <c r="Y79" s="12"/>
    </row>
    <row r="80" customFormat="false" ht="15" hidden="false" customHeight="false" outlineLevel="0" collapsed="false">
      <c r="A80" s="12"/>
      <c r="B80" s="12"/>
      <c r="C80" s="12"/>
      <c r="D80" s="12"/>
      <c r="E80" s="5" t="str">
        <f aca="false">IF($C80="","",SUMIFS(MOVIMIENTOS!$I:$I,MOVIMIENTOS!$D:$D,"Aporte",MOVIMIENTOS!$E:$E,"Anual",MOVIMIENTOS!$J:$J,$C80,MOVIMIENTOS!$B:$B,"&gt;="&amp;DATE(2026,3,1),MOVIMIENTOS!$B:$B,"&lt;"&amp;DATE(2026,4,1)))</f>
        <v/>
      </c>
      <c r="F80" s="5" t="str">
        <f aca="false">IF($C80="","",SUMIFS(MOVIMIENTOS!$I:$I,MOVIMIENTOS!$D:$D,"Aporte",MOVIMIENTOS!$E:$E,"Anual",MOVIMIENTOS!$J:$J,$C80,MOVIMIENTOS!$B:$B,"&gt;="&amp;DATE(2026,4,1),MOVIMIENTOS!$B:$B,"&lt;"&amp;DATE(2026,5,1)))</f>
        <v/>
      </c>
      <c r="G80" s="5" t="str">
        <f aca="false">IF($C80="","",SUMIFS(MOVIMIENTOS!$I:$I,MOVIMIENTOS!$D:$D,"Aporte",MOVIMIENTOS!$E:$E,"Anual",MOVIMIENTOS!$J:$J,$C80,MOVIMIENTOS!$B:$B,"&gt;="&amp;DATE(2026,5,1),MOVIMIENTOS!$B:$B,"&lt;"&amp;DATE(2026,6,1)))</f>
        <v/>
      </c>
      <c r="H80" s="5" t="str">
        <f aca="false">IF($C80="","",SUMIFS(MOVIMIENTOS!$I:$I,MOVIMIENTOS!$D:$D,"Aporte",MOVIMIENTOS!$E:$E,"Anual",MOVIMIENTOS!$J:$J,$C80,MOVIMIENTOS!$B:$B,"&gt;="&amp;DATE(2026,6,1),MOVIMIENTOS!$B:$B,"&lt;"&amp;DATE(2026,7,1)))</f>
        <v/>
      </c>
      <c r="I80" s="5" t="str">
        <f aca="false">IF($C80="","",SUMIFS(MOVIMIENTOS!$I:$I,MOVIMIENTOS!$D:$D,"Aporte",MOVIMIENTOS!$E:$E,"Anual",MOVIMIENTOS!$J:$J,$C80,MOVIMIENTOS!$B:$B,"&gt;="&amp;DATE(2026,7,1),MOVIMIENTOS!$B:$B,"&lt;"&amp;DATE(2026,8,1)))</f>
        <v/>
      </c>
      <c r="J80" s="5" t="str">
        <f aca="false">IF($C80="","",SUMIFS(MOVIMIENTOS!$I:$I,MOVIMIENTOS!$D:$D,"Aporte",MOVIMIENTOS!$E:$E,"Anual",MOVIMIENTOS!$J:$J,$C80,MOVIMIENTOS!$B:$B,"&gt;="&amp;DATE(2026,8,1),MOVIMIENTOS!$B:$B,"&lt;"&amp;DATE(2026,9,1)))</f>
        <v/>
      </c>
      <c r="K80" s="5" t="str">
        <f aca="false">IF($C80="","",SUMIFS(MOVIMIENTOS!$I:$I,MOVIMIENTOS!$D:$D,"Aporte",MOVIMIENTOS!$E:$E,"Anual",MOVIMIENTOS!$J:$J,$C80,MOVIMIENTOS!$B:$B,"&gt;="&amp;DATE(2026,9,1),MOVIMIENTOS!$B:$B,"&lt;"&amp;DATE(2026,10,1)))</f>
        <v/>
      </c>
      <c r="L80" s="5" t="str">
        <f aca="false">IF($C80="","",SUMIFS(MOVIMIENTOS!$I:$I,MOVIMIENTOS!$D:$D,"Aporte",MOVIMIENTOS!$E:$E,"Anual",MOVIMIENTOS!$J:$J,$C80,MOVIMIENTOS!$B:$B,"&gt;="&amp;DATE(2026,10,1),MOVIMIENTOS!$B:$B,"&lt;"&amp;DATE(2026,11,1)))</f>
        <v/>
      </c>
      <c r="M80" s="5" t="str">
        <f aca="false">IF($C80="","",SUMIFS(MOVIMIENTOS!$I:$I,MOVIMIENTOS!$D:$D,"Aporte",MOVIMIENTOS!$E:$E,"Anual",MOVIMIENTOS!$J:$J,$C80,MOVIMIENTOS!$B:$B,"&gt;="&amp;DATE(2026,11,1),MOVIMIENTOS!$B:$B,"&lt;"&amp;DATE(2026,12,1)))</f>
        <v/>
      </c>
      <c r="N80" s="5" t="str">
        <f aca="false">IF($C80="","",SUMIFS(MOVIMIENTOS!$I:$I,MOVIMIENTOS!$D:$D,"Aporte",MOVIMIENTOS!$E:$E,"Anual",MOVIMIENTOS!$J:$J,$C80,MOVIMIENTOS!$B:$B,"&gt;="&amp;DATE(2026,12,1),MOVIMIENTOS!$B:$B,"&lt;"&amp;DATE(2026,13,1)))</f>
        <v/>
      </c>
      <c r="O80" s="5" t="str">
        <f aca="false">IF($C80="","",SUM(E80:N80))</f>
        <v/>
      </c>
      <c r="P80" s="5" t="str">
        <f aca="false">IF($C80="","",SUMIFS(MOVIMIENTOS!$I:$I,MOVIMIENTOS!$D:$D,"Aporte",MOVIMIENTOS!$E:$E,"Extraordinaria",MOVIMIENTOS!$F:$F,P$4,MOVIMIENTOS!$J:$J,$C80))</f>
        <v/>
      </c>
      <c r="Q80" s="5" t="str">
        <f aca="false">IF($C80="","",SUMIFS(MOVIMIENTOS!$I:$I,MOVIMIENTOS!$D:$D,"Aporte",MOVIMIENTOS!$E:$E,"Extraordinaria",MOVIMIENTOS!$F:$F,Q$4,MOVIMIENTOS!$J:$J,$C80))</f>
        <v/>
      </c>
      <c r="R80" s="5" t="str">
        <f aca="false">IF($C80="","",SUMIFS(MOVIMIENTOS!$I:$I,MOVIMIENTOS!$D:$D,"Aporte",MOVIMIENTOS!$E:$E,"Extraordinaria",MOVIMIENTOS!$F:$F,R$4,MOVIMIENTOS!$J:$J,$C80))</f>
        <v/>
      </c>
      <c r="S80" s="5" t="str">
        <f aca="false">IF($C80="","",SUMIFS(MOVIMIENTOS!$I:$I,MOVIMIENTOS!$D:$D,"Aporte",MOVIMIENTOS!$E:$E,"Extraordinaria",MOVIMIENTOS!$F:$F,S$4,MOVIMIENTOS!$J:$J,$C80))</f>
        <v/>
      </c>
      <c r="T80" s="5" t="str">
        <f aca="false">IF($C80="","",SUMIFS(MOVIMIENTOS!$I:$I,MOVIMIENTOS!$D:$D,"Aporte",MOVIMIENTOS!$E:$E,"Extraordinaria",MOVIMIENTOS!$F:$F,T$4,MOVIMIENTOS!$J:$J,$C80))</f>
        <v/>
      </c>
      <c r="U80" s="5" t="str">
        <f aca="false">IF($C80="","",SUMIFS(MOVIMIENTOS!$I:$I,MOVIMIENTOS!$D:$D,"Aporte",MOVIMIENTOS!$E:$E,"Extraordinaria",MOVIMIENTOS!$F:$F,U$4,MOVIMIENTOS!$J:$J,$C80))</f>
        <v/>
      </c>
      <c r="V80" s="5" t="str">
        <f aca="false">IF($C80="","",SUMIFS(MOVIMIENTOS!$I:$I,MOVIMIENTOS!$D:$D,"Aporte",MOVIMIENTOS!$E:$E,"Extraordinaria",MOVIMIENTOS!$F:$F,V$4,MOVIMIENTOS!$J:$J,$C80))</f>
        <v/>
      </c>
      <c r="W80" s="5" t="str">
        <f aca="false">IF($C80="","",SUM(P80:V80))</f>
        <v/>
      </c>
      <c r="X80" s="5" t="str">
        <f aca="false">IF($C80="","",O80+W80)</f>
        <v/>
      </c>
      <c r="Y80" s="12"/>
    </row>
    <row r="81" customFormat="false" ht="15" hidden="false" customHeight="false" outlineLevel="0" collapsed="false">
      <c r="A81" s="12"/>
      <c r="B81" s="12"/>
      <c r="C81" s="12"/>
      <c r="D81" s="12"/>
      <c r="E81" s="5" t="str">
        <f aca="false">IF($C81="","",SUMIFS(MOVIMIENTOS!$I:$I,MOVIMIENTOS!$D:$D,"Aporte",MOVIMIENTOS!$E:$E,"Anual",MOVIMIENTOS!$J:$J,$C81,MOVIMIENTOS!$B:$B,"&gt;="&amp;DATE(2026,3,1),MOVIMIENTOS!$B:$B,"&lt;"&amp;DATE(2026,4,1)))</f>
        <v/>
      </c>
      <c r="F81" s="5" t="str">
        <f aca="false">IF($C81="","",SUMIFS(MOVIMIENTOS!$I:$I,MOVIMIENTOS!$D:$D,"Aporte",MOVIMIENTOS!$E:$E,"Anual",MOVIMIENTOS!$J:$J,$C81,MOVIMIENTOS!$B:$B,"&gt;="&amp;DATE(2026,4,1),MOVIMIENTOS!$B:$B,"&lt;"&amp;DATE(2026,5,1)))</f>
        <v/>
      </c>
      <c r="G81" s="5" t="str">
        <f aca="false">IF($C81="","",SUMIFS(MOVIMIENTOS!$I:$I,MOVIMIENTOS!$D:$D,"Aporte",MOVIMIENTOS!$E:$E,"Anual",MOVIMIENTOS!$J:$J,$C81,MOVIMIENTOS!$B:$B,"&gt;="&amp;DATE(2026,5,1),MOVIMIENTOS!$B:$B,"&lt;"&amp;DATE(2026,6,1)))</f>
        <v/>
      </c>
      <c r="H81" s="5" t="str">
        <f aca="false">IF($C81="","",SUMIFS(MOVIMIENTOS!$I:$I,MOVIMIENTOS!$D:$D,"Aporte",MOVIMIENTOS!$E:$E,"Anual",MOVIMIENTOS!$J:$J,$C81,MOVIMIENTOS!$B:$B,"&gt;="&amp;DATE(2026,6,1),MOVIMIENTOS!$B:$B,"&lt;"&amp;DATE(2026,7,1)))</f>
        <v/>
      </c>
      <c r="I81" s="5" t="str">
        <f aca="false">IF($C81="","",SUMIFS(MOVIMIENTOS!$I:$I,MOVIMIENTOS!$D:$D,"Aporte",MOVIMIENTOS!$E:$E,"Anual",MOVIMIENTOS!$J:$J,$C81,MOVIMIENTOS!$B:$B,"&gt;="&amp;DATE(2026,7,1),MOVIMIENTOS!$B:$B,"&lt;"&amp;DATE(2026,8,1)))</f>
        <v/>
      </c>
      <c r="J81" s="5" t="str">
        <f aca="false">IF($C81="","",SUMIFS(MOVIMIENTOS!$I:$I,MOVIMIENTOS!$D:$D,"Aporte",MOVIMIENTOS!$E:$E,"Anual",MOVIMIENTOS!$J:$J,$C81,MOVIMIENTOS!$B:$B,"&gt;="&amp;DATE(2026,8,1),MOVIMIENTOS!$B:$B,"&lt;"&amp;DATE(2026,9,1)))</f>
        <v/>
      </c>
      <c r="K81" s="5" t="str">
        <f aca="false">IF($C81="","",SUMIFS(MOVIMIENTOS!$I:$I,MOVIMIENTOS!$D:$D,"Aporte",MOVIMIENTOS!$E:$E,"Anual",MOVIMIENTOS!$J:$J,$C81,MOVIMIENTOS!$B:$B,"&gt;="&amp;DATE(2026,9,1),MOVIMIENTOS!$B:$B,"&lt;"&amp;DATE(2026,10,1)))</f>
        <v/>
      </c>
      <c r="L81" s="5" t="str">
        <f aca="false">IF($C81="","",SUMIFS(MOVIMIENTOS!$I:$I,MOVIMIENTOS!$D:$D,"Aporte",MOVIMIENTOS!$E:$E,"Anual",MOVIMIENTOS!$J:$J,$C81,MOVIMIENTOS!$B:$B,"&gt;="&amp;DATE(2026,10,1),MOVIMIENTOS!$B:$B,"&lt;"&amp;DATE(2026,11,1)))</f>
        <v/>
      </c>
      <c r="M81" s="5" t="str">
        <f aca="false">IF($C81="","",SUMIFS(MOVIMIENTOS!$I:$I,MOVIMIENTOS!$D:$D,"Aporte",MOVIMIENTOS!$E:$E,"Anual",MOVIMIENTOS!$J:$J,$C81,MOVIMIENTOS!$B:$B,"&gt;="&amp;DATE(2026,11,1),MOVIMIENTOS!$B:$B,"&lt;"&amp;DATE(2026,12,1)))</f>
        <v/>
      </c>
      <c r="N81" s="5" t="str">
        <f aca="false">IF($C81="","",SUMIFS(MOVIMIENTOS!$I:$I,MOVIMIENTOS!$D:$D,"Aporte",MOVIMIENTOS!$E:$E,"Anual",MOVIMIENTOS!$J:$J,$C81,MOVIMIENTOS!$B:$B,"&gt;="&amp;DATE(2026,12,1),MOVIMIENTOS!$B:$B,"&lt;"&amp;DATE(2026,13,1)))</f>
        <v/>
      </c>
      <c r="O81" s="5" t="str">
        <f aca="false">IF($C81="","",SUM(E81:N81))</f>
        <v/>
      </c>
      <c r="P81" s="5" t="str">
        <f aca="false">IF($C81="","",SUMIFS(MOVIMIENTOS!$I:$I,MOVIMIENTOS!$D:$D,"Aporte",MOVIMIENTOS!$E:$E,"Extraordinaria",MOVIMIENTOS!$F:$F,P$4,MOVIMIENTOS!$J:$J,$C81))</f>
        <v/>
      </c>
      <c r="Q81" s="5" t="str">
        <f aca="false">IF($C81="","",SUMIFS(MOVIMIENTOS!$I:$I,MOVIMIENTOS!$D:$D,"Aporte",MOVIMIENTOS!$E:$E,"Extraordinaria",MOVIMIENTOS!$F:$F,Q$4,MOVIMIENTOS!$J:$J,$C81))</f>
        <v/>
      </c>
      <c r="R81" s="5" t="str">
        <f aca="false">IF($C81="","",SUMIFS(MOVIMIENTOS!$I:$I,MOVIMIENTOS!$D:$D,"Aporte",MOVIMIENTOS!$E:$E,"Extraordinaria",MOVIMIENTOS!$F:$F,R$4,MOVIMIENTOS!$J:$J,$C81))</f>
        <v/>
      </c>
      <c r="S81" s="5" t="str">
        <f aca="false">IF($C81="","",SUMIFS(MOVIMIENTOS!$I:$I,MOVIMIENTOS!$D:$D,"Aporte",MOVIMIENTOS!$E:$E,"Extraordinaria",MOVIMIENTOS!$F:$F,S$4,MOVIMIENTOS!$J:$J,$C81))</f>
        <v/>
      </c>
      <c r="T81" s="5" t="str">
        <f aca="false">IF($C81="","",SUMIFS(MOVIMIENTOS!$I:$I,MOVIMIENTOS!$D:$D,"Aporte",MOVIMIENTOS!$E:$E,"Extraordinaria",MOVIMIENTOS!$F:$F,T$4,MOVIMIENTOS!$J:$J,$C81))</f>
        <v/>
      </c>
      <c r="U81" s="5" t="str">
        <f aca="false">IF($C81="","",SUMIFS(MOVIMIENTOS!$I:$I,MOVIMIENTOS!$D:$D,"Aporte",MOVIMIENTOS!$E:$E,"Extraordinaria",MOVIMIENTOS!$F:$F,U$4,MOVIMIENTOS!$J:$J,$C81))</f>
        <v/>
      </c>
      <c r="V81" s="5" t="str">
        <f aca="false">IF($C81="","",SUMIFS(MOVIMIENTOS!$I:$I,MOVIMIENTOS!$D:$D,"Aporte",MOVIMIENTOS!$E:$E,"Extraordinaria",MOVIMIENTOS!$F:$F,V$4,MOVIMIENTOS!$J:$J,$C81))</f>
        <v/>
      </c>
      <c r="W81" s="5" t="str">
        <f aca="false">IF($C81="","",SUM(P81:V81))</f>
        <v/>
      </c>
      <c r="X81" s="5" t="str">
        <f aca="false">IF($C81="","",O81+W81)</f>
        <v/>
      </c>
      <c r="Y81" s="12"/>
    </row>
    <row r="82" customFormat="false" ht="15" hidden="false" customHeight="false" outlineLevel="0" collapsed="false">
      <c r="A82" s="12"/>
      <c r="B82" s="12"/>
      <c r="C82" s="12"/>
      <c r="D82" s="12"/>
      <c r="E82" s="5" t="str">
        <f aca="false">IF($C82="","",SUMIFS(MOVIMIENTOS!$I:$I,MOVIMIENTOS!$D:$D,"Aporte",MOVIMIENTOS!$E:$E,"Anual",MOVIMIENTOS!$J:$J,$C82,MOVIMIENTOS!$B:$B,"&gt;="&amp;DATE(2026,3,1),MOVIMIENTOS!$B:$B,"&lt;"&amp;DATE(2026,4,1)))</f>
        <v/>
      </c>
      <c r="F82" s="5" t="str">
        <f aca="false">IF($C82="","",SUMIFS(MOVIMIENTOS!$I:$I,MOVIMIENTOS!$D:$D,"Aporte",MOVIMIENTOS!$E:$E,"Anual",MOVIMIENTOS!$J:$J,$C82,MOVIMIENTOS!$B:$B,"&gt;="&amp;DATE(2026,4,1),MOVIMIENTOS!$B:$B,"&lt;"&amp;DATE(2026,5,1)))</f>
        <v/>
      </c>
      <c r="G82" s="5" t="str">
        <f aca="false">IF($C82="","",SUMIFS(MOVIMIENTOS!$I:$I,MOVIMIENTOS!$D:$D,"Aporte",MOVIMIENTOS!$E:$E,"Anual",MOVIMIENTOS!$J:$J,$C82,MOVIMIENTOS!$B:$B,"&gt;="&amp;DATE(2026,5,1),MOVIMIENTOS!$B:$B,"&lt;"&amp;DATE(2026,6,1)))</f>
        <v/>
      </c>
      <c r="H82" s="5" t="str">
        <f aca="false">IF($C82="","",SUMIFS(MOVIMIENTOS!$I:$I,MOVIMIENTOS!$D:$D,"Aporte",MOVIMIENTOS!$E:$E,"Anual",MOVIMIENTOS!$J:$J,$C82,MOVIMIENTOS!$B:$B,"&gt;="&amp;DATE(2026,6,1),MOVIMIENTOS!$B:$B,"&lt;"&amp;DATE(2026,7,1)))</f>
        <v/>
      </c>
      <c r="I82" s="5" t="str">
        <f aca="false">IF($C82="","",SUMIFS(MOVIMIENTOS!$I:$I,MOVIMIENTOS!$D:$D,"Aporte",MOVIMIENTOS!$E:$E,"Anual",MOVIMIENTOS!$J:$J,$C82,MOVIMIENTOS!$B:$B,"&gt;="&amp;DATE(2026,7,1),MOVIMIENTOS!$B:$B,"&lt;"&amp;DATE(2026,8,1)))</f>
        <v/>
      </c>
      <c r="J82" s="5" t="str">
        <f aca="false">IF($C82="","",SUMIFS(MOVIMIENTOS!$I:$I,MOVIMIENTOS!$D:$D,"Aporte",MOVIMIENTOS!$E:$E,"Anual",MOVIMIENTOS!$J:$J,$C82,MOVIMIENTOS!$B:$B,"&gt;="&amp;DATE(2026,8,1),MOVIMIENTOS!$B:$B,"&lt;"&amp;DATE(2026,9,1)))</f>
        <v/>
      </c>
      <c r="K82" s="5" t="str">
        <f aca="false">IF($C82="","",SUMIFS(MOVIMIENTOS!$I:$I,MOVIMIENTOS!$D:$D,"Aporte",MOVIMIENTOS!$E:$E,"Anual",MOVIMIENTOS!$J:$J,$C82,MOVIMIENTOS!$B:$B,"&gt;="&amp;DATE(2026,9,1),MOVIMIENTOS!$B:$B,"&lt;"&amp;DATE(2026,10,1)))</f>
        <v/>
      </c>
      <c r="L82" s="5" t="str">
        <f aca="false">IF($C82="","",SUMIFS(MOVIMIENTOS!$I:$I,MOVIMIENTOS!$D:$D,"Aporte",MOVIMIENTOS!$E:$E,"Anual",MOVIMIENTOS!$J:$J,$C82,MOVIMIENTOS!$B:$B,"&gt;="&amp;DATE(2026,10,1),MOVIMIENTOS!$B:$B,"&lt;"&amp;DATE(2026,11,1)))</f>
        <v/>
      </c>
      <c r="M82" s="5" t="str">
        <f aca="false">IF($C82="","",SUMIFS(MOVIMIENTOS!$I:$I,MOVIMIENTOS!$D:$D,"Aporte",MOVIMIENTOS!$E:$E,"Anual",MOVIMIENTOS!$J:$J,$C82,MOVIMIENTOS!$B:$B,"&gt;="&amp;DATE(2026,11,1),MOVIMIENTOS!$B:$B,"&lt;"&amp;DATE(2026,12,1)))</f>
        <v/>
      </c>
      <c r="N82" s="5" t="str">
        <f aca="false">IF($C82="","",SUMIFS(MOVIMIENTOS!$I:$I,MOVIMIENTOS!$D:$D,"Aporte",MOVIMIENTOS!$E:$E,"Anual",MOVIMIENTOS!$J:$J,$C82,MOVIMIENTOS!$B:$B,"&gt;="&amp;DATE(2026,12,1),MOVIMIENTOS!$B:$B,"&lt;"&amp;DATE(2026,13,1)))</f>
        <v/>
      </c>
      <c r="O82" s="5" t="str">
        <f aca="false">IF($C82="","",SUM(E82:N82))</f>
        <v/>
      </c>
      <c r="P82" s="5" t="str">
        <f aca="false">IF($C82="","",SUMIFS(MOVIMIENTOS!$I:$I,MOVIMIENTOS!$D:$D,"Aporte",MOVIMIENTOS!$E:$E,"Extraordinaria",MOVIMIENTOS!$F:$F,P$4,MOVIMIENTOS!$J:$J,$C82))</f>
        <v/>
      </c>
      <c r="Q82" s="5" t="str">
        <f aca="false">IF($C82="","",SUMIFS(MOVIMIENTOS!$I:$I,MOVIMIENTOS!$D:$D,"Aporte",MOVIMIENTOS!$E:$E,"Extraordinaria",MOVIMIENTOS!$F:$F,Q$4,MOVIMIENTOS!$J:$J,$C82))</f>
        <v/>
      </c>
      <c r="R82" s="5" t="str">
        <f aca="false">IF($C82="","",SUMIFS(MOVIMIENTOS!$I:$I,MOVIMIENTOS!$D:$D,"Aporte",MOVIMIENTOS!$E:$E,"Extraordinaria",MOVIMIENTOS!$F:$F,R$4,MOVIMIENTOS!$J:$J,$C82))</f>
        <v/>
      </c>
      <c r="S82" s="5" t="str">
        <f aca="false">IF($C82="","",SUMIFS(MOVIMIENTOS!$I:$I,MOVIMIENTOS!$D:$D,"Aporte",MOVIMIENTOS!$E:$E,"Extraordinaria",MOVIMIENTOS!$F:$F,S$4,MOVIMIENTOS!$J:$J,$C82))</f>
        <v/>
      </c>
      <c r="T82" s="5" t="str">
        <f aca="false">IF($C82="","",SUMIFS(MOVIMIENTOS!$I:$I,MOVIMIENTOS!$D:$D,"Aporte",MOVIMIENTOS!$E:$E,"Extraordinaria",MOVIMIENTOS!$F:$F,T$4,MOVIMIENTOS!$J:$J,$C82))</f>
        <v/>
      </c>
      <c r="U82" s="5" t="str">
        <f aca="false">IF($C82="","",SUMIFS(MOVIMIENTOS!$I:$I,MOVIMIENTOS!$D:$D,"Aporte",MOVIMIENTOS!$E:$E,"Extraordinaria",MOVIMIENTOS!$F:$F,U$4,MOVIMIENTOS!$J:$J,$C82))</f>
        <v/>
      </c>
      <c r="V82" s="5" t="str">
        <f aca="false">IF($C82="","",SUMIFS(MOVIMIENTOS!$I:$I,MOVIMIENTOS!$D:$D,"Aporte",MOVIMIENTOS!$E:$E,"Extraordinaria",MOVIMIENTOS!$F:$F,V$4,MOVIMIENTOS!$J:$J,$C82))</f>
        <v/>
      </c>
      <c r="W82" s="5" t="str">
        <f aca="false">IF($C82="","",SUM(P82:V82))</f>
        <v/>
      </c>
      <c r="X82" s="5" t="str">
        <f aca="false">IF($C82="","",O82+W82)</f>
        <v/>
      </c>
      <c r="Y82" s="12"/>
    </row>
    <row r="83" customFormat="false" ht="15" hidden="false" customHeight="false" outlineLevel="0" collapsed="false">
      <c r="A83" s="12"/>
      <c r="B83" s="12"/>
      <c r="C83" s="12"/>
      <c r="D83" s="12"/>
      <c r="E83" s="5" t="str">
        <f aca="false">IF($C83="","",SUMIFS(MOVIMIENTOS!$I:$I,MOVIMIENTOS!$D:$D,"Aporte",MOVIMIENTOS!$E:$E,"Anual",MOVIMIENTOS!$J:$J,$C83,MOVIMIENTOS!$B:$B,"&gt;="&amp;DATE(2026,3,1),MOVIMIENTOS!$B:$B,"&lt;"&amp;DATE(2026,4,1)))</f>
        <v/>
      </c>
      <c r="F83" s="5" t="str">
        <f aca="false">IF($C83="","",SUMIFS(MOVIMIENTOS!$I:$I,MOVIMIENTOS!$D:$D,"Aporte",MOVIMIENTOS!$E:$E,"Anual",MOVIMIENTOS!$J:$J,$C83,MOVIMIENTOS!$B:$B,"&gt;="&amp;DATE(2026,4,1),MOVIMIENTOS!$B:$B,"&lt;"&amp;DATE(2026,5,1)))</f>
        <v/>
      </c>
      <c r="G83" s="5" t="str">
        <f aca="false">IF($C83="","",SUMIFS(MOVIMIENTOS!$I:$I,MOVIMIENTOS!$D:$D,"Aporte",MOVIMIENTOS!$E:$E,"Anual",MOVIMIENTOS!$J:$J,$C83,MOVIMIENTOS!$B:$B,"&gt;="&amp;DATE(2026,5,1),MOVIMIENTOS!$B:$B,"&lt;"&amp;DATE(2026,6,1)))</f>
        <v/>
      </c>
      <c r="H83" s="5" t="str">
        <f aca="false">IF($C83="","",SUMIFS(MOVIMIENTOS!$I:$I,MOVIMIENTOS!$D:$D,"Aporte",MOVIMIENTOS!$E:$E,"Anual",MOVIMIENTOS!$J:$J,$C83,MOVIMIENTOS!$B:$B,"&gt;="&amp;DATE(2026,6,1),MOVIMIENTOS!$B:$B,"&lt;"&amp;DATE(2026,7,1)))</f>
        <v/>
      </c>
      <c r="I83" s="5" t="str">
        <f aca="false">IF($C83="","",SUMIFS(MOVIMIENTOS!$I:$I,MOVIMIENTOS!$D:$D,"Aporte",MOVIMIENTOS!$E:$E,"Anual",MOVIMIENTOS!$J:$J,$C83,MOVIMIENTOS!$B:$B,"&gt;="&amp;DATE(2026,7,1),MOVIMIENTOS!$B:$B,"&lt;"&amp;DATE(2026,8,1)))</f>
        <v/>
      </c>
      <c r="J83" s="5" t="str">
        <f aca="false">IF($C83="","",SUMIFS(MOVIMIENTOS!$I:$I,MOVIMIENTOS!$D:$D,"Aporte",MOVIMIENTOS!$E:$E,"Anual",MOVIMIENTOS!$J:$J,$C83,MOVIMIENTOS!$B:$B,"&gt;="&amp;DATE(2026,8,1),MOVIMIENTOS!$B:$B,"&lt;"&amp;DATE(2026,9,1)))</f>
        <v/>
      </c>
      <c r="K83" s="5" t="str">
        <f aca="false">IF($C83="","",SUMIFS(MOVIMIENTOS!$I:$I,MOVIMIENTOS!$D:$D,"Aporte",MOVIMIENTOS!$E:$E,"Anual",MOVIMIENTOS!$J:$J,$C83,MOVIMIENTOS!$B:$B,"&gt;="&amp;DATE(2026,9,1),MOVIMIENTOS!$B:$B,"&lt;"&amp;DATE(2026,10,1)))</f>
        <v/>
      </c>
      <c r="L83" s="5" t="str">
        <f aca="false">IF($C83="","",SUMIFS(MOVIMIENTOS!$I:$I,MOVIMIENTOS!$D:$D,"Aporte",MOVIMIENTOS!$E:$E,"Anual",MOVIMIENTOS!$J:$J,$C83,MOVIMIENTOS!$B:$B,"&gt;="&amp;DATE(2026,10,1),MOVIMIENTOS!$B:$B,"&lt;"&amp;DATE(2026,11,1)))</f>
        <v/>
      </c>
      <c r="M83" s="5" t="str">
        <f aca="false">IF($C83="","",SUMIFS(MOVIMIENTOS!$I:$I,MOVIMIENTOS!$D:$D,"Aporte",MOVIMIENTOS!$E:$E,"Anual",MOVIMIENTOS!$J:$J,$C83,MOVIMIENTOS!$B:$B,"&gt;="&amp;DATE(2026,11,1),MOVIMIENTOS!$B:$B,"&lt;"&amp;DATE(2026,12,1)))</f>
        <v/>
      </c>
      <c r="N83" s="5" t="str">
        <f aca="false">IF($C83="","",SUMIFS(MOVIMIENTOS!$I:$I,MOVIMIENTOS!$D:$D,"Aporte",MOVIMIENTOS!$E:$E,"Anual",MOVIMIENTOS!$J:$J,$C83,MOVIMIENTOS!$B:$B,"&gt;="&amp;DATE(2026,12,1),MOVIMIENTOS!$B:$B,"&lt;"&amp;DATE(2026,13,1)))</f>
        <v/>
      </c>
      <c r="O83" s="5" t="str">
        <f aca="false">IF($C83="","",SUM(E83:N83))</f>
        <v/>
      </c>
      <c r="P83" s="5" t="str">
        <f aca="false">IF($C83="","",SUMIFS(MOVIMIENTOS!$I:$I,MOVIMIENTOS!$D:$D,"Aporte",MOVIMIENTOS!$E:$E,"Extraordinaria",MOVIMIENTOS!$F:$F,P$4,MOVIMIENTOS!$J:$J,$C83))</f>
        <v/>
      </c>
      <c r="Q83" s="5" t="str">
        <f aca="false">IF($C83="","",SUMIFS(MOVIMIENTOS!$I:$I,MOVIMIENTOS!$D:$D,"Aporte",MOVIMIENTOS!$E:$E,"Extraordinaria",MOVIMIENTOS!$F:$F,Q$4,MOVIMIENTOS!$J:$J,$C83))</f>
        <v/>
      </c>
      <c r="R83" s="5" t="str">
        <f aca="false">IF($C83="","",SUMIFS(MOVIMIENTOS!$I:$I,MOVIMIENTOS!$D:$D,"Aporte",MOVIMIENTOS!$E:$E,"Extraordinaria",MOVIMIENTOS!$F:$F,R$4,MOVIMIENTOS!$J:$J,$C83))</f>
        <v/>
      </c>
      <c r="S83" s="5" t="str">
        <f aca="false">IF($C83="","",SUMIFS(MOVIMIENTOS!$I:$I,MOVIMIENTOS!$D:$D,"Aporte",MOVIMIENTOS!$E:$E,"Extraordinaria",MOVIMIENTOS!$F:$F,S$4,MOVIMIENTOS!$J:$J,$C83))</f>
        <v/>
      </c>
      <c r="T83" s="5" t="str">
        <f aca="false">IF($C83="","",SUMIFS(MOVIMIENTOS!$I:$I,MOVIMIENTOS!$D:$D,"Aporte",MOVIMIENTOS!$E:$E,"Extraordinaria",MOVIMIENTOS!$F:$F,T$4,MOVIMIENTOS!$J:$J,$C83))</f>
        <v/>
      </c>
      <c r="U83" s="5" t="str">
        <f aca="false">IF($C83="","",SUMIFS(MOVIMIENTOS!$I:$I,MOVIMIENTOS!$D:$D,"Aporte",MOVIMIENTOS!$E:$E,"Extraordinaria",MOVIMIENTOS!$F:$F,U$4,MOVIMIENTOS!$J:$J,$C83))</f>
        <v/>
      </c>
      <c r="V83" s="5" t="str">
        <f aca="false">IF($C83="","",SUMIFS(MOVIMIENTOS!$I:$I,MOVIMIENTOS!$D:$D,"Aporte",MOVIMIENTOS!$E:$E,"Extraordinaria",MOVIMIENTOS!$F:$F,V$4,MOVIMIENTOS!$J:$J,$C83))</f>
        <v/>
      </c>
      <c r="W83" s="5" t="str">
        <f aca="false">IF($C83="","",SUM(P83:V83))</f>
        <v/>
      </c>
      <c r="X83" s="5" t="str">
        <f aca="false">IF($C83="","",O83+W83)</f>
        <v/>
      </c>
      <c r="Y83" s="12"/>
    </row>
    <row r="84" customFormat="false" ht="15" hidden="false" customHeight="false" outlineLevel="0" collapsed="false">
      <c r="A84" s="12"/>
      <c r="B84" s="12"/>
      <c r="C84" s="12"/>
      <c r="D84" s="12"/>
      <c r="E84" s="5" t="str">
        <f aca="false">IF($C84="","",SUMIFS(MOVIMIENTOS!$I:$I,MOVIMIENTOS!$D:$D,"Aporte",MOVIMIENTOS!$E:$E,"Anual",MOVIMIENTOS!$J:$J,$C84,MOVIMIENTOS!$B:$B,"&gt;="&amp;DATE(2026,3,1),MOVIMIENTOS!$B:$B,"&lt;"&amp;DATE(2026,4,1)))</f>
        <v/>
      </c>
      <c r="F84" s="5" t="str">
        <f aca="false">IF($C84="","",SUMIFS(MOVIMIENTOS!$I:$I,MOVIMIENTOS!$D:$D,"Aporte",MOVIMIENTOS!$E:$E,"Anual",MOVIMIENTOS!$J:$J,$C84,MOVIMIENTOS!$B:$B,"&gt;="&amp;DATE(2026,4,1),MOVIMIENTOS!$B:$B,"&lt;"&amp;DATE(2026,5,1)))</f>
        <v/>
      </c>
      <c r="G84" s="5" t="str">
        <f aca="false">IF($C84="","",SUMIFS(MOVIMIENTOS!$I:$I,MOVIMIENTOS!$D:$D,"Aporte",MOVIMIENTOS!$E:$E,"Anual",MOVIMIENTOS!$J:$J,$C84,MOVIMIENTOS!$B:$B,"&gt;="&amp;DATE(2026,5,1),MOVIMIENTOS!$B:$B,"&lt;"&amp;DATE(2026,6,1)))</f>
        <v/>
      </c>
      <c r="H84" s="5" t="str">
        <f aca="false">IF($C84="","",SUMIFS(MOVIMIENTOS!$I:$I,MOVIMIENTOS!$D:$D,"Aporte",MOVIMIENTOS!$E:$E,"Anual",MOVIMIENTOS!$J:$J,$C84,MOVIMIENTOS!$B:$B,"&gt;="&amp;DATE(2026,6,1),MOVIMIENTOS!$B:$B,"&lt;"&amp;DATE(2026,7,1)))</f>
        <v/>
      </c>
      <c r="I84" s="5" t="str">
        <f aca="false">IF($C84="","",SUMIFS(MOVIMIENTOS!$I:$I,MOVIMIENTOS!$D:$D,"Aporte",MOVIMIENTOS!$E:$E,"Anual",MOVIMIENTOS!$J:$J,$C84,MOVIMIENTOS!$B:$B,"&gt;="&amp;DATE(2026,7,1),MOVIMIENTOS!$B:$B,"&lt;"&amp;DATE(2026,8,1)))</f>
        <v/>
      </c>
      <c r="J84" s="5" t="str">
        <f aca="false">IF($C84="","",SUMIFS(MOVIMIENTOS!$I:$I,MOVIMIENTOS!$D:$D,"Aporte",MOVIMIENTOS!$E:$E,"Anual",MOVIMIENTOS!$J:$J,$C84,MOVIMIENTOS!$B:$B,"&gt;="&amp;DATE(2026,8,1),MOVIMIENTOS!$B:$B,"&lt;"&amp;DATE(2026,9,1)))</f>
        <v/>
      </c>
      <c r="K84" s="5" t="str">
        <f aca="false">IF($C84="","",SUMIFS(MOVIMIENTOS!$I:$I,MOVIMIENTOS!$D:$D,"Aporte",MOVIMIENTOS!$E:$E,"Anual",MOVIMIENTOS!$J:$J,$C84,MOVIMIENTOS!$B:$B,"&gt;="&amp;DATE(2026,9,1),MOVIMIENTOS!$B:$B,"&lt;"&amp;DATE(2026,10,1)))</f>
        <v/>
      </c>
      <c r="L84" s="5" t="str">
        <f aca="false">IF($C84="","",SUMIFS(MOVIMIENTOS!$I:$I,MOVIMIENTOS!$D:$D,"Aporte",MOVIMIENTOS!$E:$E,"Anual",MOVIMIENTOS!$J:$J,$C84,MOVIMIENTOS!$B:$B,"&gt;="&amp;DATE(2026,10,1),MOVIMIENTOS!$B:$B,"&lt;"&amp;DATE(2026,11,1)))</f>
        <v/>
      </c>
      <c r="M84" s="5" t="str">
        <f aca="false">IF($C84="","",SUMIFS(MOVIMIENTOS!$I:$I,MOVIMIENTOS!$D:$D,"Aporte",MOVIMIENTOS!$E:$E,"Anual",MOVIMIENTOS!$J:$J,$C84,MOVIMIENTOS!$B:$B,"&gt;="&amp;DATE(2026,11,1),MOVIMIENTOS!$B:$B,"&lt;"&amp;DATE(2026,12,1)))</f>
        <v/>
      </c>
      <c r="N84" s="5" t="str">
        <f aca="false">IF($C84="","",SUMIFS(MOVIMIENTOS!$I:$I,MOVIMIENTOS!$D:$D,"Aporte",MOVIMIENTOS!$E:$E,"Anual",MOVIMIENTOS!$J:$J,$C84,MOVIMIENTOS!$B:$B,"&gt;="&amp;DATE(2026,12,1),MOVIMIENTOS!$B:$B,"&lt;"&amp;DATE(2026,13,1)))</f>
        <v/>
      </c>
      <c r="O84" s="5" t="str">
        <f aca="false">IF($C84="","",SUM(E84:N84))</f>
        <v/>
      </c>
      <c r="P84" s="5" t="str">
        <f aca="false">IF($C84="","",SUMIFS(MOVIMIENTOS!$I:$I,MOVIMIENTOS!$D:$D,"Aporte",MOVIMIENTOS!$E:$E,"Extraordinaria",MOVIMIENTOS!$F:$F,P$4,MOVIMIENTOS!$J:$J,$C84))</f>
        <v/>
      </c>
      <c r="Q84" s="5" t="str">
        <f aca="false">IF($C84="","",SUMIFS(MOVIMIENTOS!$I:$I,MOVIMIENTOS!$D:$D,"Aporte",MOVIMIENTOS!$E:$E,"Extraordinaria",MOVIMIENTOS!$F:$F,Q$4,MOVIMIENTOS!$J:$J,$C84))</f>
        <v/>
      </c>
      <c r="R84" s="5" t="str">
        <f aca="false">IF($C84="","",SUMIFS(MOVIMIENTOS!$I:$I,MOVIMIENTOS!$D:$D,"Aporte",MOVIMIENTOS!$E:$E,"Extraordinaria",MOVIMIENTOS!$F:$F,R$4,MOVIMIENTOS!$J:$J,$C84))</f>
        <v/>
      </c>
      <c r="S84" s="5" t="str">
        <f aca="false">IF($C84="","",SUMIFS(MOVIMIENTOS!$I:$I,MOVIMIENTOS!$D:$D,"Aporte",MOVIMIENTOS!$E:$E,"Extraordinaria",MOVIMIENTOS!$F:$F,S$4,MOVIMIENTOS!$J:$J,$C84))</f>
        <v/>
      </c>
      <c r="T84" s="5" t="str">
        <f aca="false">IF($C84="","",SUMIFS(MOVIMIENTOS!$I:$I,MOVIMIENTOS!$D:$D,"Aporte",MOVIMIENTOS!$E:$E,"Extraordinaria",MOVIMIENTOS!$F:$F,T$4,MOVIMIENTOS!$J:$J,$C84))</f>
        <v/>
      </c>
      <c r="U84" s="5" t="str">
        <f aca="false">IF($C84="","",SUMIFS(MOVIMIENTOS!$I:$I,MOVIMIENTOS!$D:$D,"Aporte",MOVIMIENTOS!$E:$E,"Extraordinaria",MOVIMIENTOS!$F:$F,U$4,MOVIMIENTOS!$J:$J,$C84))</f>
        <v/>
      </c>
      <c r="V84" s="5" t="str">
        <f aca="false">IF($C84="","",SUMIFS(MOVIMIENTOS!$I:$I,MOVIMIENTOS!$D:$D,"Aporte",MOVIMIENTOS!$E:$E,"Extraordinaria",MOVIMIENTOS!$F:$F,V$4,MOVIMIENTOS!$J:$J,$C84))</f>
        <v/>
      </c>
      <c r="W84" s="5" t="str">
        <f aca="false">IF($C84="","",SUM(P84:V84))</f>
        <v/>
      </c>
      <c r="X84" s="5" t="str">
        <f aca="false">IF($C84="","",O84+W84)</f>
        <v/>
      </c>
      <c r="Y84" s="12"/>
    </row>
    <row r="85" customFormat="false" ht="15" hidden="false" customHeight="false" outlineLevel="0" collapsed="false">
      <c r="A85" s="12"/>
      <c r="B85" s="12"/>
      <c r="C85" s="12"/>
      <c r="D85" s="12"/>
      <c r="E85" s="5" t="str">
        <f aca="false">IF($C85="","",SUMIFS(MOVIMIENTOS!$I:$I,MOVIMIENTOS!$D:$D,"Aporte",MOVIMIENTOS!$E:$E,"Anual",MOVIMIENTOS!$J:$J,$C85,MOVIMIENTOS!$B:$B,"&gt;="&amp;DATE(2026,3,1),MOVIMIENTOS!$B:$B,"&lt;"&amp;DATE(2026,4,1)))</f>
        <v/>
      </c>
      <c r="F85" s="5" t="str">
        <f aca="false">IF($C85="","",SUMIFS(MOVIMIENTOS!$I:$I,MOVIMIENTOS!$D:$D,"Aporte",MOVIMIENTOS!$E:$E,"Anual",MOVIMIENTOS!$J:$J,$C85,MOVIMIENTOS!$B:$B,"&gt;="&amp;DATE(2026,4,1),MOVIMIENTOS!$B:$B,"&lt;"&amp;DATE(2026,5,1)))</f>
        <v/>
      </c>
      <c r="G85" s="5" t="str">
        <f aca="false">IF($C85="","",SUMIFS(MOVIMIENTOS!$I:$I,MOVIMIENTOS!$D:$D,"Aporte",MOVIMIENTOS!$E:$E,"Anual",MOVIMIENTOS!$J:$J,$C85,MOVIMIENTOS!$B:$B,"&gt;="&amp;DATE(2026,5,1),MOVIMIENTOS!$B:$B,"&lt;"&amp;DATE(2026,6,1)))</f>
        <v/>
      </c>
      <c r="H85" s="5" t="str">
        <f aca="false">IF($C85="","",SUMIFS(MOVIMIENTOS!$I:$I,MOVIMIENTOS!$D:$D,"Aporte",MOVIMIENTOS!$E:$E,"Anual",MOVIMIENTOS!$J:$J,$C85,MOVIMIENTOS!$B:$B,"&gt;="&amp;DATE(2026,6,1),MOVIMIENTOS!$B:$B,"&lt;"&amp;DATE(2026,7,1)))</f>
        <v/>
      </c>
      <c r="I85" s="5" t="str">
        <f aca="false">IF($C85="","",SUMIFS(MOVIMIENTOS!$I:$I,MOVIMIENTOS!$D:$D,"Aporte",MOVIMIENTOS!$E:$E,"Anual",MOVIMIENTOS!$J:$J,$C85,MOVIMIENTOS!$B:$B,"&gt;="&amp;DATE(2026,7,1),MOVIMIENTOS!$B:$B,"&lt;"&amp;DATE(2026,8,1)))</f>
        <v/>
      </c>
      <c r="J85" s="5" t="str">
        <f aca="false">IF($C85="","",SUMIFS(MOVIMIENTOS!$I:$I,MOVIMIENTOS!$D:$D,"Aporte",MOVIMIENTOS!$E:$E,"Anual",MOVIMIENTOS!$J:$J,$C85,MOVIMIENTOS!$B:$B,"&gt;="&amp;DATE(2026,8,1),MOVIMIENTOS!$B:$B,"&lt;"&amp;DATE(2026,9,1)))</f>
        <v/>
      </c>
      <c r="K85" s="5" t="str">
        <f aca="false">IF($C85="","",SUMIFS(MOVIMIENTOS!$I:$I,MOVIMIENTOS!$D:$D,"Aporte",MOVIMIENTOS!$E:$E,"Anual",MOVIMIENTOS!$J:$J,$C85,MOVIMIENTOS!$B:$B,"&gt;="&amp;DATE(2026,9,1),MOVIMIENTOS!$B:$B,"&lt;"&amp;DATE(2026,10,1)))</f>
        <v/>
      </c>
      <c r="L85" s="5" t="str">
        <f aca="false">IF($C85="","",SUMIFS(MOVIMIENTOS!$I:$I,MOVIMIENTOS!$D:$D,"Aporte",MOVIMIENTOS!$E:$E,"Anual",MOVIMIENTOS!$J:$J,$C85,MOVIMIENTOS!$B:$B,"&gt;="&amp;DATE(2026,10,1),MOVIMIENTOS!$B:$B,"&lt;"&amp;DATE(2026,11,1)))</f>
        <v/>
      </c>
      <c r="M85" s="5" t="str">
        <f aca="false">IF($C85="","",SUMIFS(MOVIMIENTOS!$I:$I,MOVIMIENTOS!$D:$D,"Aporte",MOVIMIENTOS!$E:$E,"Anual",MOVIMIENTOS!$J:$J,$C85,MOVIMIENTOS!$B:$B,"&gt;="&amp;DATE(2026,11,1),MOVIMIENTOS!$B:$B,"&lt;"&amp;DATE(2026,12,1)))</f>
        <v/>
      </c>
      <c r="N85" s="5" t="str">
        <f aca="false">IF($C85="","",SUMIFS(MOVIMIENTOS!$I:$I,MOVIMIENTOS!$D:$D,"Aporte",MOVIMIENTOS!$E:$E,"Anual",MOVIMIENTOS!$J:$J,$C85,MOVIMIENTOS!$B:$B,"&gt;="&amp;DATE(2026,12,1),MOVIMIENTOS!$B:$B,"&lt;"&amp;DATE(2026,13,1)))</f>
        <v/>
      </c>
      <c r="O85" s="5" t="str">
        <f aca="false">IF($C85="","",SUM(E85:N85))</f>
        <v/>
      </c>
      <c r="P85" s="5" t="str">
        <f aca="false">IF($C85="","",SUMIFS(MOVIMIENTOS!$I:$I,MOVIMIENTOS!$D:$D,"Aporte",MOVIMIENTOS!$E:$E,"Extraordinaria",MOVIMIENTOS!$F:$F,P$4,MOVIMIENTOS!$J:$J,$C85))</f>
        <v/>
      </c>
      <c r="Q85" s="5" t="str">
        <f aca="false">IF($C85="","",SUMIFS(MOVIMIENTOS!$I:$I,MOVIMIENTOS!$D:$D,"Aporte",MOVIMIENTOS!$E:$E,"Extraordinaria",MOVIMIENTOS!$F:$F,Q$4,MOVIMIENTOS!$J:$J,$C85))</f>
        <v/>
      </c>
      <c r="R85" s="5" t="str">
        <f aca="false">IF($C85="","",SUMIFS(MOVIMIENTOS!$I:$I,MOVIMIENTOS!$D:$D,"Aporte",MOVIMIENTOS!$E:$E,"Extraordinaria",MOVIMIENTOS!$F:$F,R$4,MOVIMIENTOS!$J:$J,$C85))</f>
        <v/>
      </c>
      <c r="S85" s="5" t="str">
        <f aca="false">IF($C85="","",SUMIFS(MOVIMIENTOS!$I:$I,MOVIMIENTOS!$D:$D,"Aporte",MOVIMIENTOS!$E:$E,"Extraordinaria",MOVIMIENTOS!$F:$F,S$4,MOVIMIENTOS!$J:$J,$C85))</f>
        <v/>
      </c>
      <c r="T85" s="5" t="str">
        <f aca="false">IF($C85="","",SUMIFS(MOVIMIENTOS!$I:$I,MOVIMIENTOS!$D:$D,"Aporte",MOVIMIENTOS!$E:$E,"Extraordinaria",MOVIMIENTOS!$F:$F,T$4,MOVIMIENTOS!$J:$J,$C85))</f>
        <v/>
      </c>
      <c r="U85" s="5" t="str">
        <f aca="false">IF($C85="","",SUMIFS(MOVIMIENTOS!$I:$I,MOVIMIENTOS!$D:$D,"Aporte",MOVIMIENTOS!$E:$E,"Extraordinaria",MOVIMIENTOS!$F:$F,U$4,MOVIMIENTOS!$J:$J,$C85))</f>
        <v/>
      </c>
      <c r="V85" s="5" t="str">
        <f aca="false">IF($C85="","",SUMIFS(MOVIMIENTOS!$I:$I,MOVIMIENTOS!$D:$D,"Aporte",MOVIMIENTOS!$E:$E,"Extraordinaria",MOVIMIENTOS!$F:$F,V$4,MOVIMIENTOS!$J:$J,$C85))</f>
        <v/>
      </c>
      <c r="W85" s="5" t="str">
        <f aca="false">IF($C85="","",SUM(P85:V85))</f>
        <v/>
      </c>
      <c r="X85" s="5" t="str">
        <f aca="false">IF($C85="","",O85+W85)</f>
        <v/>
      </c>
      <c r="Y85" s="12"/>
    </row>
    <row r="86" customFormat="false" ht="15" hidden="false" customHeight="false" outlineLevel="0" collapsed="false">
      <c r="A86" s="12"/>
      <c r="B86" s="12"/>
      <c r="C86" s="12"/>
      <c r="D86" s="12"/>
      <c r="E86" s="5" t="str">
        <f aca="false">IF($C86="","",SUMIFS(MOVIMIENTOS!$I:$I,MOVIMIENTOS!$D:$D,"Aporte",MOVIMIENTOS!$E:$E,"Anual",MOVIMIENTOS!$J:$J,$C86,MOVIMIENTOS!$B:$B,"&gt;="&amp;DATE(2026,3,1),MOVIMIENTOS!$B:$B,"&lt;"&amp;DATE(2026,4,1)))</f>
        <v/>
      </c>
      <c r="F86" s="5" t="str">
        <f aca="false">IF($C86="","",SUMIFS(MOVIMIENTOS!$I:$I,MOVIMIENTOS!$D:$D,"Aporte",MOVIMIENTOS!$E:$E,"Anual",MOVIMIENTOS!$J:$J,$C86,MOVIMIENTOS!$B:$B,"&gt;="&amp;DATE(2026,4,1),MOVIMIENTOS!$B:$B,"&lt;"&amp;DATE(2026,5,1)))</f>
        <v/>
      </c>
      <c r="G86" s="5" t="str">
        <f aca="false">IF($C86="","",SUMIFS(MOVIMIENTOS!$I:$I,MOVIMIENTOS!$D:$D,"Aporte",MOVIMIENTOS!$E:$E,"Anual",MOVIMIENTOS!$J:$J,$C86,MOVIMIENTOS!$B:$B,"&gt;="&amp;DATE(2026,5,1),MOVIMIENTOS!$B:$B,"&lt;"&amp;DATE(2026,6,1)))</f>
        <v/>
      </c>
      <c r="H86" s="5" t="str">
        <f aca="false">IF($C86="","",SUMIFS(MOVIMIENTOS!$I:$I,MOVIMIENTOS!$D:$D,"Aporte",MOVIMIENTOS!$E:$E,"Anual",MOVIMIENTOS!$J:$J,$C86,MOVIMIENTOS!$B:$B,"&gt;="&amp;DATE(2026,6,1),MOVIMIENTOS!$B:$B,"&lt;"&amp;DATE(2026,7,1)))</f>
        <v/>
      </c>
      <c r="I86" s="5" t="str">
        <f aca="false">IF($C86="","",SUMIFS(MOVIMIENTOS!$I:$I,MOVIMIENTOS!$D:$D,"Aporte",MOVIMIENTOS!$E:$E,"Anual",MOVIMIENTOS!$J:$J,$C86,MOVIMIENTOS!$B:$B,"&gt;="&amp;DATE(2026,7,1),MOVIMIENTOS!$B:$B,"&lt;"&amp;DATE(2026,8,1)))</f>
        <v/>
      </c>
      <c r="J86" s="5" t="str">
        <f aca="false">IF($C86="","",SUMIFS(MOVIMIENTOS!$I:$I,MOVIMIENTOS!$D:$D,"Aporte",MOVIMIENTOS!$E:$E,"Anual",MOVIMIENTOS!$J:$J,$C86,MOVIMIENTOS!$B:$B,"&gt;="&amp;DATE(2026,8,1),MOVIMIENTOS!$B:$B,"&lt;"&amp;DATE(2026,9,1)))</f>
        <v/>
      </c>
      <c r="K86" s="5" t="str">
        <f aca="false">IF($C86="","",SUMIFS(MOVIMIENTOS!$I:$I,MOVIMIENTOS!$D:$D,"Aporte",MOVIMIENTOS!$E:$E,"Anual",MOVIMIENTOS!$J:$J,$C86,MOVIMIENTOS!$B:$B,"&gt;="&amp;DATE(2026,9,1),MOVIMIENTOS!$B:$B,"&lt;"&amp;DATE(2026,10,1)))</f>
        <v/>
      </c>
      <c r="L86" s="5" t="str">
        <f aca="false">IF($C86="","",SUMIFS(MOVIMIENTOS!$I:$I,MOVIMIENTOS!$D:$D,"Aporte",MOVIMIENTOS!$E:$E,"Anual",MOVIMIENTOS!$J:$J,$C86,MOVIMIENTOS!$B:$B,"&gt;="&amp;DATE(2026,10,1),MOVIMIENTOS!$B:$B,"&lt;"&amp;DATE(2026,11,1)))</f>
        <v/>
      </c>
      <c r="M86" s="5" t="str">
        <f aca="false">IF($C86="","",SUMIFS(MOVIMIENTOS!$I:$I,MOVIMIENTOS!$D:$D,"Aporte",MOVIMIENTOS!$E:$E,"Anual",MOVIMIENTOS!$J:$J,$C86,MOVIMIENTOS!$B:$B,"&gt;="&amp;DATE(2026,11,1),MOVIMIENTOS!$B:$B,"&lt;"&amp;DATE(2026,12,1)))</f>
        <v/>
      </c>
      <c r="N86" s="5" t="str">
        <f aca="false">IF($C86="","",SUMIFS(MOVIMIENTOS!$I:$I,MOVIMIENTOS!$D:$D,"Aporte",MOVIMIENTOS!$E:$E,"Anual",MOVIMIENTOS!$J:$J,$C86,MOVIMIENTOS!$B:$B,"&gt;="&amp;DATE(2026,12,1),MOVIMIENTOS!$B:$B,"&lt;"&amp;DATE(2026,13,1)))</f>
        <v/>
      </c>
      <c r="O86" s="5" t="str">
        <f aca="false">IF($C86="","",SUM(E86:N86))</f>
        <v/>
      </c>
      <c r="P86" s="5" t="str">
        <f aca="false">IF($C86="","",SUMIFS(MOVIMIENTOS!$I:$I,MOVIMIENTOS!$D:$D,"Aporte",MOVIMIENTOS!$E:$E,"Extraordinaria",MOVIMIENTOS!$F:$F,P$4,MOVIMIENTOS!$J:$J,$C86))</f>
        <v/>
      </c>
      <c r="Q86" s="5" t="str">
        <f aca="false">IF($C86="","",SUMIFS(MOVIMIENTOS!$I:$I,MOVIMIENTOS!$D:$D,"Aporte",MOVIMIENTOS!$E:$E,"Extraordinaria",MOVIMIENTOS!$F:$F,Q$4,MOVIMIENTOS!$J:$J,$C86))</f>
        <v/>
      </c>
      <c r="R86" s="5" t="str">
        <f aca="false">IF($C86="","",SUMIFS(MOVIMIENTOS!$I:$I,MOVIMIENTOS!$D:$D,"Aporte",MOVIMIENTOS!$E:$E,"Extraordinaria",MOVIMIENTOS!$F:$F,R$4,MOVIMIENTOS!$J:$J,$C86))</f>
        <v/>
      </c>
      <c r="S86" s="5" t="str">
        <f aca="false">IF($C86="","",SUMIFS(MOVIMIENTOS!$I:$I,MOVIMIENTOS!$D:$D,"Aporte",MOVIMIENTOS!$E:$E,"Extraordinaria",MOVIMIENTOS!$F:$F,S$4,MOVIMIENTOS!$J:$J,$C86))</f>
        <v/>
      </c>
      <c r="T86" s="5" t="str">
        <f aca="false">IF($C86="","",SUMIFS(MOVIMIENTOS!$I:$I,MOVIMIENTOS!$D:$D,"Aporte",MOVIMIENTOS!$E:$E,"Extraordinaria",MOVIMIENTOS!$F:$F,T$4,MOVIMIENTOS!$J:$J,$C86))</f>
        <v/>
      </c>
      <c r="U86" s="5" t="str">
        <f aca="false">IF($C86="","",SUMIFS(MOVIMIENTOS!$I:$I,MOVIMIENTOS!$D:$D,"Aporte",MOVIMIENTOS!$E:$E,"Extraordinaria",MOVIMIENTOS!$F:$F,U$4,MOVIMIENTOS!$J:$J,$C86))</f>
        <v/>
      </c>
      <c r="V86" s="5" t="str">
        <f aca="false">IF($C86="","",SUMIFS(MOVIMIENTOS!$I:$I,MOVIMIENTOS!$D:$D,"Aporte",MOVIMIENTOS!$E:$E,"Extraordinaria",MOVIMIENTOS!$F:$F,V$4,MOVIMIENTOS!$J:$J,$C86))</f>
        <v/>
      </c>
      <c r="W86" s="5" t="str">
        <f aca="false">IF($C86="","",SUM(P86:V86))</f>
        <v/>
      </c>
      <c r="X86" s="5" t="str">
        <f aca="false">IF($C86="","",O86+W86)</f>
        <v/>
      </c>
      <c r="Y86" s="12"/>
    </row>
    <row r="87" customFormat="false" ht="15" hidden="false" customHeight="false" outlineLevel="0" collapsed="false">
      <c r="A87" s="12"/>
      <c r="B87" s="12"/>
      <c r="C87" s="12"/>
      <c r="D87" s="12"/>
      <c r="E87" s="5" t="str">
        <f aca="false">IF($C87="","",SUMIFS(MOVIMIENTOS!$I:$I,MOVIMIENTOS!$D:$D,"Aporte",MOVIMIENTOS!$E:$E,"Anual",MOVIMIENTOS!$J:$J,$C87,MOVIMIENTOS!$B:$B,"&gt;="&amp;DATE(2026,3,1),MOVIMIENTOS!$B:$B,"&lt;"&amp;DATE(2026,4,1)))</f>
        <v/>
      </c>
      <c r="F87" s="5" t="str">
        <f aca="false">IF($C87="","",SUMIFS(MOVIMIENTOS!$I:$I,MOVIMIENTOS!$D:$D,"Aporte",MOVIMIENTOS!$E:$E,"Anual",MOVIMIENTOS!$J:$J,$C87,MOVIMIENTOS!$B:$B,"&gt;="&amp;DATE(2026,4,1),MOVIMIENTOS!$B:$B,"&lt;"&amp;DATE(2026,5,1)))</f>
        <v/>
      </c>
      <c r="G87" s="5" t="str">
        <f aca="false">IF($C87="","",SUMIFS(MOVIMIENTOS!$I:$I,MOVIMIENTOS!$D:$D,"Aporte",MOVIMIENTOS!$E:$E,"Anual",MOVIMIENTOS!$J:$J,$C87,MOVIMIENTOS!$B:$B,"&gt;="&amp;DATE(2026,5,1),MOVIMIENTOS!$B:$B,"&lt;"&amp;DATE(2026,6,1)))</f>
        <v/>
      </c>
      <c r="H87" s="5" t="str">
        <f aca="false">IF($C87="","",SUMIFS(MOVIMIENTOS!$I:$I,MOVIMIENTOS!$D:$D,"Aporte",MOVIMIENTOS!$E:$E,"Anual",MOVIMIENTOS!$J:$J,$C87,MOVIMIENTOS!$B:$B,"&gt;="&amp;DATE(2026,6,1),MOVIMIENTOS!$B:$B,"&lt;"&amp;DATE(2026,7,1)))</f>
        <v/>
      </c>
      <c r="I87" s="5" t="str">
        <f aca="false">IF($C87="","",SUMIFS(MOVIMIENTOS!$I:$I,MOVIMIENTOS!$D:$D,"Aporte",MOVIMIENTOS!$E:$E,"Anual",MOVIMIENTOS!$J:$J,$C87,MOVIMIENTOS!$B:$B,"&gt;="&amp;DATE(2026,7,1),MOVIMIENTOS!$B:$B,"&lt;"&amp;DATE(2026,8,1)))</f>
        <v/>
      </c>
      <c r="J87" s="5" t="str">
        <f aca="false">IF($C87="","",SUMIFS(MOVIMIENTOS!$I:$I,MOVIMIENTOS!$D:$D,"Aporte",MOVIMIENTOS!$E:$E,"Anual",MOVIMIENTOS!$J:$J,$C87,MOVIMIENTOS!$B:$B,"&gt;="&amp;DATE(2026,8,1),MOVIMIENTOS!$B:$B,"&lt;"&amp;DATE(2026,9,1)))</f>
        <v/>
      </c>
      <c r="K87" s="5" t="str">
        <f aca="false">IF($C87="","",SUMIFS(MOVIMIENTOS!$I:$I,MOVIMIENTOS!$D:$D,"Aporte",MOVIMIENTOS!$E:$E,"Anual",MOVIMIENTOS!$J:$J,$C87,MOVIMIENTOS!$B:$B,"&gt;="&amp;DATE(2026,9,1),MOVIMIENTOS!$B:$B,"&lt;"&amp;DATE(2026,10,1)))</f>
        <v/>
      </c>
      <c r="L87" s="5" t="str">
        <f aca="false">IF($C87="","",SUMIFS(MOVIMIENTOS!$I:$I,MOVIMIENTOS!$D:$D,"Aporte",MOVIMIENTOS!$E:$E,"Anual",MOVIMIENTOS!$J:$J,$C87,MOVIMIENTOS!$B:$B,"&gt;="&amp;DATE(2026,10,1),MOVIMIENTOS!$B:$B,"&lt;"&amp;DATE(2026,11,1)))</f>
        <v/>
      </c>
      <c r="M87" s="5" t="str">
        <f aca="false">IF($C87="","",SUMIFS(MOVIMIENTOS!$I:$I,MOVIMIENTOS!$D:$D,"Aporte",MOVIMIENTOS!$E:$E,"Anual",MOVIMIENTOS!$J:$J,$C87,MOVIMIENTOS!$B:$B,"&gt;="&amp;DATE(2026,11,1),MOVIMIENTOS!$B:$B,"&lt;"&amp;DATE(2026,12,1)))</f>
        <v/>
      </c>
      <c r="N87" s="5" t="str">
        <f aca="false">IF($C87="","",SUMIFS(MOVIMIENTOS!$I:$I,MOVIMIENTOS!$D:$D,"Aporte",MOVIMIENTOS!$E:$E,"Anual",MOVIMIENTOS!$J:$J,$C87,MOVIMIENTOS!$B:$B,"&gt;="&amp;DATE(2026,12,1),MOVIMIENTOS!$B:$B,"&lt;"&amp;DATE(2026,13,1)))</f>
        <v/>
      </c>
      <c r="O87" s="5" t="str">
        <f aca="false">IF($C87="","",SUM(E87:N87))</f>
        <v/>
      </c>
      <c r="P87" s="5" t="str">
        <f aca="false">IF($C87="","",SUMIFS(MOVIMIENTOS!$I:$I,MOVIMIENTOS!$D:$D,"Aporte",MOVIMIENTOS!$E:$E,"Extraordinaria",MOVIMIENTOS!$F:$F,P$4,MOVIMIENTOS!$J:$J,$C87))</f>
        <v/>
      </c>
      <c r="Q87" s="5" t="str">
        <f aca="false">IF($C87="","",SUMIFS(MOVIMIENTOS!$I:$I,MOVIMIENTOS!$D:$D,"Aporte",MOVIMIENTOS!$E:$E,"Extraordinaria",MOVIMIENTOS!$F:$F,Q$4,MOVIMIENTOS!$J:$J,$C87))</f>
        <v/>
      </c>
      <c r="R87" s="5" t="str">
        <f aca="false">IF($C87="","",SUMIFS(MOVIMIENTOS!$I:$I,MOVIMIENTOS!$D:$D,"Aporte",MOVIMIENTOS!$E:$E,"Extraordinaria",MOVIMIENTOS!$F:$F,R$4,MOVIMIENTOS!$J:$J,$C87))</f>
        <v/>
      </c>
      <c r="S87" s="5" t="str">
        <f aca="false">IF($C87="","",SUMIFS(MOVIMIENTOS!$I:$I,MOVIMIENTOS!$D:$D,"Aporte",MOVIMIENTOS!$E:$E,"Extraordinaria",MOVIMIENTOS!$F:$F,S$4,MOVIMIENTOS!$J:$J,$C87))</f>
        <v/>
      </c>
      <c r="T87" s="5" t="str">
        <f aca="false">IF($C87="","",SUMIFS(MOVIMIENTOS!$I:$I,MOVIMIENTOS!$D:$D,"Aporte",MOVIMIENTOS!$E:$E,"Extraordinaria",MOVIMIENTOS!$F:$F,T$4,MOVIMIENTOS!$J:$J,$C87))</f>
        <v/>
      </c>
      <c r="U87" s="5" t="str">
        <f aca="false">IF($C87="","",SUMIFS(MOVIMIENTOS!$I:$I,MOVIMIENTOS!$D:$D,"Aporte",MOVIMIENTOS!$E:$E,"Extraordinaria",MOVIMIENTOS!$F:$F,U$4,MOVIMIENTOS!$J:$J,$C87))</f>
        <v/>
      </c>
      <c r="V87" s="5" t="str">
        <f aca="false">IF($C87="","",SUMIFS(MOVIMIENTOS!$I:$I,MOVIMIENTOS!$D:$D,"Aporte",MOVIMIENTOS!$E:$E,"Extraordinaria",MOVIMIENTOS!$F:$F,V$4,MOVIMIENTOS!$J:$J,$C87))</f>
        <v/>
      </c>
      <c r="W87" s="5" t="str">
        <f aca="false">IF($C87="","",SUM(P87:V87))</f>
        <v/>
      </c>
      <c r="X87" s="5" t="str">
        <f aca="false">IF($C87="","",O87+W87)</f>
        <v/>
      </c>
      <c r="Y87" s="12"/>
    </row>
    <row r="88" customFormat="false" ht="15" hidden="false" customHeight="false" outlineLevel="0" collapsed="false">
      <c r="A88" s="12"/>
      <c r="B88" s="12"/>
      <c r="C88" s="12"/>
      <c r="D88" s="12"/>
      <c r="E88" s="5" t="str">
        <f aca="false">IF($C88="","",SUMIFS(MOVIMIENTOS!$I:$I,MOVIMIENTOS!$D:$D,"Aporte",MOVIMIENTOS!$E:$E,"Anual",MOVIMIENTOS!$J:$J,$C88,MOVIMIENTOS!$B:$B,"&gt;="&amp;DATE(2026,3,1),MOVIMIENTOS!$B:$B,"&lt;"&amp;DATE(2026,4,1)))</f>
        <v/>
      </c>
      <c r="F88" s="5" t="str">
        <f aca="false">IF($C88="","",SUMIFS(MOVIMIENTOS!$I:$I,MOVIMIENTOS!$D:$D,"Aporte",MOVIMIENTOS!$E:$E,"Anual",MOVIMIENTOS!$J:$J,$C88,MOVIMIENTOS!$B:$B,"&gt;="&amp;DATE(2026,4,1),MOVIMIENTOS!$B:$B,"&lt;"&amp;DATE(2026,5,1)))</f>
        <v/>
      </c>
      <c r="G88" s="5" t="str">
        <f aca="false">IF($C88="","",SUMIFS(MOVIMIENTOS!$I:$I,MOVIMIENTOS!$D:$D,"Aporte",MOVIMIENTOS!$E:$E,"Anual",MOVIMIENTOS!$J:$J,$C88,MOVIMIENTOS!$B:$B,"&gt;="&amp;DATE(2026,5,1),MOVIMIENTOS!$B:$B,"&lt;"&amp;DATE(2026,6,1)))</f>
        <v/>
      </c>
      <c r="H88" s="5" t="str">
        <f aca="false">IF($C88="","",SUMIFS(MOVIMIENTOS!$I:$I,MOVIMIENTOS!$D:$D,"Aporte",MOVIMIENTOS!$E:$E,"Anual",MOVIMIENTOS!$J:$J,$C88,MOVIMIENTOS!$B:$B,"&gt;="&amp;DATE(2026,6,1),MOVIMIENTOS!$B:$B,"&lt;"&amp;DATE(2026,7,1)))</f>
        <v/>
      </c>
      <c r="I88" s="5" t="str">
        <f aca="false">IF($C88="","",SUMIFS(MOVIMIENTOS!$I:$I,MOVIMIENTOS!$D:$D,"Aporte",MOVIMIENTOS!$E:$E,"Anual",MOVIMIENTOS!$J:$J,$C88,MOVIMIENTOS!$B:$B,"&gt;="&amp;DATE(2026,7,1),MOVIMIENTOS!$B:$B,"&lt;"&amp;DATE(2026,8,1)))</f>
        <v/>
      </c>
      <c r="J88" s="5" t="str">
        <f aca="false">IF($C88="","",SUMIFS(MOVIMIENTOS!$I:$I,MOVIMIENTOS!$D:$D,"Aporte",MOVIMIENTOS!$E:$E,"Anual",MOVIMIENTOS!$J:$J,$C88,MOVIMIENTOS!$B:$B,"&gt;="&amp;DATE(2026,8,1),MOVIMIENTOS!$B:$B,"&lt;"&amp;DATE(2026,9,1)))</f>
        <v/>
      </c>
      <c r="K88" s="5" t="str">
        <f aca="false">IF($C88="","",SUMIFS(MOVIMIENTOS!$I:$I,MOVIMIENTOS!$D:$D,"Aporte",MOVIMIENTOS!$E:$E,"Anual",MOVIMIENTOS!$J:$J,$C88,MOVIMIENTOS!$B:$B,"&gt;="&amp;DATE(2026,9,1),MOVIMIENTOS!$B:$B,"&lt;"&amp;DATE(2026,10,1)))</f>
        <v/>
      </c>
      <c r="L88" s="5" t="str">
        <f aca="false">IF($C88="","",SUMIFS(MOVIMIENTOS!$I:$I,MOVIMIENTOS!$D:$D,"Aporte",MOVIMIENTOS!$E:$E,"Anual",MOVIMIENTOS!$J:$J,$C88,MOVIMIENTOS!$B:$B,"&gt;="&amp;DATE(2026,10,1),MOVIMIENTOS!$B:$B,"&lt;"&amp;DATE(2026,11,1)))</f>
        <v/>
      </c>
      <c r="M88" s="5" t="str">
        <f aca="false">IF($C88="","",SUMIFS(MOVIMIENTOS!$I:$I,MOVIMIENTOS!$D:$D,"Aporte",MOVIMIENTOS!$E:$E,"Anual",MOVIMIENTOS!$J:$J,$C88,MOVIMIENTOS!$B:$B,"&gt;="&amp;DATE(2026,11,1),MOVIMIENTOS!$B:$B,"&lt;"&amp;DATE(2026,12,1)))</f>
        <v/>
      </c>
      <c r="N88" s="5" t="str">
        <f aca="false">IF($C88="","",SUMIFS(MOVIMIENTOS!$I:$I,MOVIMIENTOS!$D:$D,"Aporte",MOVIMIENTOS!$E:$E,"Anual",MOVIMIENTOS!$J:$J,$C88,MOVIMIENTOS!$B:$B,"&gt;="&amp;DATE(2026,12,1),MOVIMIENTOS!$B:$B,"&lt;"&amp;DATE(2026,13,1)))</f>
        <v/>
      </c>
      <c r="O88" s="5" t="str">
        <f aca="false">IF($C88="","",SUM(E88:N88))</f>
        <v/>
      </c>
      <c r="P88" s="5" t="str">
        <f aca="false">IF($C88="","",SUMIFS(MOVIMIENTOS!$I:$I,MOVIMIENTOS!$D:$D,"Aporte",MOVIMIENTOS!$E:$E,"Extraordinaria",MOVIMIENTOS!$F:$F,P$4,MOVIMIENTOS!$J:$J,$C88))</f>
        <v/>
      </c>
      <c r="Q88" s="5" t="str">
        <f aca="false">IF($C88="","",SUMIFS(MOVIMIENTOS!$I:$I,MOVIMIENTOS!$D:$D,"Aporte",MOVIMIENTOS!$E:$E,"Extraordinaria",MOVIMIENTOS!$F:$F,Q$4,MOVIMIENTOS!$J:$J,$C88))</f>
        <v/>
      </c>
      <c r="R88" s="5" t="str">
        <f aca="false">IF($C88="","",SUMIFS(MOVIMIENTOS!$I:$I,MOVIMIENTOS!$D:$D,"Aporte",MOVIMIENTOS!$E:$E,"Extraordinaria",MOVIMIENTOS!$F:$F,R$4,MOVIMIENTOS!$J:$J,$C88))</f>
        <v/>
      </c>
      <c r="S88" s="5" t="str">
        <f aca="false">IF($C88="","",SUMIFS(MOVIMIENTOS!$I:$I,MOVIMIENTOS!$D:$D,"Aporte",MOVIMIENTOS!$E:$E,"Extraordinaria",MOVIMIENTOS!$F:$F,S$4,MOVIMIENTOS!$J:$J,$C88))</f>
        <v/>
      </c>
      <c r="T88" s="5" t="str">
        <f aca="false">IF($C88="","",SUMIFS(MOVIMIENTOS!$I:$I,MOVIMIENTOS!$D:$D,"Aporte",MOVIMIENTOS!$E:$E,"Extraordinaria",MOVIMIENTOS!$F:$F,T$4,MOVIMIENTOS!$J:$J,$C88))</f>
        <v/>
      </c>
      <c r="U88" s="5" t="str">
        <f aca="false">IF($C88="","",SUMIFS(MOVIMIENTOS!$I:$I,MOVIMIENTOS!$D:$D,"Aporte",MOVIMIENTOS!$E:$E,"Extraordinaria",MOVIMIENTOS!$F:$F,U$4,MOVIMIENTOS!$J:$J,$C88))</f>
        <v/>
      </c>
      <c r="V88" s="5" t="str">
        <f aca="false">IF($C88="","",SUMIFS(MOVIMIENTOS!$I:$I,MOVIMIENTOS!$D:$D,"Aporte",MOVIMIENTOS!$E:$E,"Extraordinaria",MOVIMIENTOS!$F:$F,V$4,MOVIMIENTOS!$J:$J,$C88))</f>
        <v/>
      </c>
      <c r="W88" s="5" t="str">
        <f aca="false">IF($C88="","",SUM(P88:V88))</f>
        <v/>
      </c>
      <c r="X88" s="5" t="str">
        <f aca="false">IF($C88="","",O88+W88)</f>
        <v/>
      </c>
      <c r="Y88" s="12"/>
    </row>
    <row r="89" customFormat="false" ht="15" hidden="false" customHeight="false" outlineLevel="0" collapsed="false">
      <c r="A89" s="12"/>
      <c r="B89" s="12"/>
      <c r="C89" s="12"/>
      <c r="D89" s="12"/>
      <c r="E89" s="5" t="str">
        <f aca="false">IF($C89="","",SUMIFS(MOVIMIENTOS!$I:$I,MOVIMIENTOS!$D:$D,"Aporte",MOVIMIENTOS!$E:$E,"Anual",MOVIMIENTOS!$J:$J,$C89,MOVIMIENTOS!$B:$B,"&gt;="&amp;DATE(2026,3,1),MOVIMIENTOS!$B:$B,"&lt;"&amp;DATE(2026,4,1)))</f>
        <v/>
      </c>
      <c r="F89" s="5" t="str">
        <f aca="false">IF($C89="","",SUMIFS(MOVIMIENTOS!$I:$I,MOVIMIENTOS!$D:$D,"Aporte",MOVIMIENTOS!$E:$E,"Anual",MOVIMIENTOS!$J:$J,$C89,MOVIMIENTOS!$B:$B,"&gt;="&amp;DATE(2026,4,1),MOVIMIENTOS!$B:$B,"&lt;"&amp;DATE(2026,5,1)))</f>
        <v/>
      </c>
      <c r="G89" s="5" t="str">
        <f aca="false">IF($C89="","",SUMIFS(MOVIMIENTOS!$I:$I,MOVIMIENTOS!$D:$D,"Aporte",MOVIMIENTOS!$E:$E,"Anual",MOVIMIENTOS!$J:$J,$C89,MOVIMIENTOS!$B:$B,"&gt;="&amp;DATE(2026,5,1),MOVIMIENTOS!$B:$B,"&lt;"&amp;DATE(2026,6,1)))</f>
        <v/>
      </c>
      <c r="H89" s="5" t="str">
        <f aca="false">IF($C89="","",SUMIFS(MOVIMIENTOS!$I:$I,MOVIMIENTOS!$D:$D,"Aporte",MOVIMIENTOS!$E:$E,"Anual",MOVIMIENTOS!$J:$J,$C89,MOVIMIENTOS!$B:$B,"&gt;="&amp;DATE(2026,6,1),MOVIMIENTOS!$B:$B,"&lt;"&amp;DATE(2026,7,1)))</f>
        <v/>
      </c>
      <c r="I89" s="5" t="str">
        <f aca="false">IF($C89="","",SUMIFS(MOVIMIENTOS!$I:$I,MOVIMIENTOS!$D:$D,"Aporte",MOVIMIENTOS!$E:$E,"Anual",MOVIMIENTOS!$J:$J,$C89,MOVIMIENTOS!$B:$B,"&gt;="&amp;DATE(2026,7,1),MOVIMIENTOS!$B:$B,"&lt;"&amp;DATE(2026,8,1)))</f>
        <v/>
      </c>
      <c r="J89" s="5" t="str">
        <f aca="false">IF($C89="","",SUMIFS(MOVIMIENTOS!$I:$I,MOVIMIENTOS!$D:$D,"Aporte",MOVIMIENTOS!$E:$E,"Anual",MOVIMIENTOS!$J:$J,$C89,MOVIMIENTOS!$B:$B,"&gt;="&amp;DATE(2026,8,1),MOVIMIENTOS!$B:$B,"&lt;"&amp;DATE(2026,9,1)))</f>
        <v/>
      </c>
      <c r="K89" s="5" t="str">
        <f aca="false">IF($C89="","",SUMIFS(MOVIMIENTOS!$I:$I,MOVIMIENTOS!$D:$D,"Aporte",MOVIMIENTOS!$E:$E,"Anual",MOVIMIENTOS!$J:$J,$C89,MOVIMIENTOS!$B:$B,"&gt;="&amp;DATE(2026,9,1),MOVIMIENTOS!$B:$B,"&lt;"&amp;DATE(2026,10,1)))</f>
        <v/>
      </c>
      <c r="L89" s="5" t="str">
        <f aca="false">IF($C89="","",SUMIFS(MOVIMIENTOS!$I:$I,MOVIMIENTOS!$D:$D,"Aporte",MOVIMIENTOS!$E:$E,"Anual",MOVIMIENTOS!$J:$J,$C89,MOVIMIENTOS!$B:$B,"&gt;="&amp;DATE(2026,10,1),MOVIMIENTOS!$B:$B,"&lt;"&amp;DATE(2026,11,1)))</f>
        <v/>
      </c>
      <c r="M89" s="5" t="str">
        <f aca="false">IF($C89="","",SUMIFS(MOVIMIENTOS!$I:$I,MOVIMIENTOS!$D:$D,"Aporte",MOVIMIENTOS!$E:$E,"Anual",MOVIMIENTOS!$J:$J,$C89,MOVIMIENTOS!$B:$B,"&gt;="&amp;DATE(2026,11,1),MOVIMIENTOS!$B:$B,"&lt;"&amp;DATE(2026,12,1)))</f>
        <v/>
      </c>
      <c r="N89" s="5" t="str">
        <f aca="false">IF($C89="","",SUMIFS(MOVIMIENTOS!$I:$I,MOVIMIENTOS!$D:$D,"Aporte",MOVIMIENTOS!$E:$E,"Anual",MOVIMIENTOS!$J:$J,$C89,MOVIMIENTOS!$B:$B,"&gt;="&amp;DATE(2026,12,1),MOVIMIENTOS!$B:$B,"&lt;"&amp;DATE(2026,13,1)))</f>
        <v/>
      </c>
      <c r="O89" s="5" t="str">
        <f aca="false">IF($C89="","",SUM(E89:N89))</f>
        <v/>
      </c>
      <c r="P89" s="5" t="str">
        <f aca="false">IF($C89="","",SUMIFS(MOVIMIENTOS!$I:$I,MOVIMIENTOS!$D:$D,"Aporte",MOVIMIENTOS!$E:$E,"Extraordinaria",MOVIMIENTOS!$F:$F,P$4,MOVIMIENTOS!$J:$J,$C89))</f>
        <v/>
      </c>
      <c r="Q89" s="5" t="str">
        <f aca="false">IF($C89="","",SUMIFS(MOVIMIENTOS!$I:$I,MOVIMIENTOS!$D:$D,"Aporte",MOVIMIENTOS!$E:$E,"Extraordinaria",MOVIMIENTOS!$F:$F,Q$4,MOVIMIENTOS!$J:$J,$C89))</f>
        <v/>
      </c>
      <c r="R89" s="5" t="str">
        <f aca="false">IF($C89="","",SUMIFS(MOVIMIENTOS!$I:$I,MOVIMIENTOS!$D:$D,"Aporte",MOVIMIENTOS!$E:$E,"Extraordinaria",MOVIMIENTOS!$F:$F,R$4,MOVIMIENTOS!$J:$J,$C89))</f>
        <v/>
      </c>
      <c r="S89" s="5" t="str">
        <f aca="false">IF($C89="","",SUMIFS(MOVIMIENTOS!$I:$I,MOVIMIENTOS!$D:$D,"Aporte",MOVIMIENTOS!$E:$E,"Extraordinaria",MOVIMIENTOS!$F:$F,S$4,MOVIMIENTOS!$J:$J,$C89))</f>
        <v/>
      </c>
      <c r="T89" s="5" t="str">
        <f aca="false">IF($C89="","",SUMIFS(MOVIMIENTOS!$I:$I,MOVIMIENTOS!$D:$D,"Aporte",MOVIMIENTOS!$E:$E,"Extraordinaria",MOVIMIENTOS!$F:$F,T$4,MOVIMIENTOS!$J:$J,$C89))</f>
        <v/>
      </c>
      <c r="U89" s="5" t="str">
        <f aca="false">IF($C89="","",SUMIFS(MOVIMIENTOS!$I:$I,MOVIMIENTOS!$D:$D,"Aporte",MOVIMIENTOS!$E:$E,"Extraordinaria",MOVIMIENTOS!$F:$F,U$4,MOVIMIENTOS!$J:$J,$C89))</f>
        <v/>
      </c>
      <c r="V89" s="5" t="str">
        <f aca="false">IF($C89="","",SUMIFS(MOVIMIENTOS!$I:$I,MOVIMIENTOS!$D:$D,"Aporte",MOVIMIENTOS!$E:$E,"Extraordinaria",MOVIMIENTOS!$F:$F,V$4,MOVIMIENTOS!$J:$J,$C89))</f>
        <v/>
      </c>
      <c r="W89" s="5" t="str">
        <f aca="false">IF($C89="","",SUM(P89:V89))</f>
        <v/>
      </c>
      <c r="X89" s="5" t="str">
        <f aca="false">IF($C89="","",O89+W89)</f>
        <v/>
      </c>
      <c r="Y89" s="12"/>
    </row>
    <row r="90" customFormat="false" ht="15" hidden="false" customHeight="false" outlineLevel="0" collapsed="false">
      <c r="A90" s="12"/>
      <c r="B90" s="12"/>
      <c r="C90" s="12"/>
      <c r="D90" s="12"/>
      <c r="E90" s="5" t="str">
        <f aca="false">IF($C90="","",SUMIFS(MOVIMIENTOS!$I:$I,MOVIMIENTOS!$D:$D,"Aporte",MOVIMIENTOS!$E:$E,"Anual",MOVIMIENTOS!$J:$J,$C90,MOVIMIENTOS!$B:$B,"&gt;="&amp;DATE(2026,3,1),MOVIMIENTOS!$B:$B,"&lt;"&amp;DATE(2026,4,1)))</f>
        <v/>
      </c>
      <c r="F90" s="5" t="str">
        <f aca="false">IF($C90="","",SUMIFS(MOVIMIENTOS!$I:$I,MOVIMIENTOS!$D:$D,"Aporte",MOVIMIENTOS!$E:$E,"Anual",MOVIMIENTOS!$J:$J,$C90,MOVIMIENTOS!$B:$B,"&gt;="&amp;DATE(2026,4,1),MOVIMIENTOS!$B:$B,"&lt;"&amp;DATE(2026,5,1)))</f>
        <v/>
      </c>
      <c r="G90" s="5" t="str">
        <f aca="false">IF($C90="","",SUMIFS(MOVIMIENTOS!$I:$I,MOVIMIENTOS!$D:$D,"Aporte",MOVIMIENTOS!$E:$E,"Anual",MOVIMIENTOS!$J:$J,$C90,MOVIMIENTOS!$B:$B,"&gt;="&amp;DATE(2026,5,1),MOVIMIENTOS!$B:$B,"&lt;"&amp;DATE(2026,6,1)))</f>
        <v/>
      </c>
      <c r="H90" s="5" t="str">
        <f aca="false">IF($C90="","",SUMIFS(MOVIMIENTOS!$I:$I,MOVIMIENTOS!$D:$D,"Aporte",MOVIMIENTOS!$E:$E,"Anual",MOVIMIENTOS!$J:$J,$C90,MOVIMIENTOS!$B:$B,"&gt;="&amp;DATE(2026,6,1),MOVIMIENTOS!$B:$B,"&lt;"&amp;DATE(2026,7,1)))</f>
        <v/>
      </c>
      <c r="I90" s="5" t="str">
        <f aca="false">IF($C90="","",SUMIFS(MOVIMIENTOS!$I:$I,MOVIMIENTOS!$D:$D,"Aporte",MOVIMIENTOS!$E:$E,"Anual",MOVIMIENTOS!$J:$J,$C90,MOVIMIENTOS!$B:$B,"&gt;="&amp;DATE(2026,7,1),MOVIMIENTOS!$B:$B,"&lt;"&amp;DATE(2026,8,1)))</f>
        <v/>
      </c>
      <c r="J90" s="5" t="str">
        <f aca="false">IF($C90="","",SUMIFS(MOVIMIENTOS!$I:$I,MOVIMIENTOS!$D:$D,"Aporte",MOVIMIENTOS!$E:$E,"Anual",MOVIMIENTOS!$J:$J,$C90,MOVIMIENTOS!$B:$B,"&gt;="&amp;DATE(2026,8,1),MOVIMIENTOS!$B:$B,"&lt;"&amp;DATE(2026,9,1)))</f>
        <v/>
      </c>
      <c r="K90" s="5" t="str">
        <f aca="false">IF($C90="","",SUMIFS(MOVIMIENTOS!$I:$I,MOVIMIENTOS!$D:$D,"Aporte",MOVIMIENTOS!$E:$E,"Anual",MOVIMIENTOS!$J:$J,$C90,MOVIMIENTOS!$B:$B,"&gt;="&amp;DATE(2026,9,1),MOVIMIENTOS!$B:$B,"&lt;"&amp;DATE(2026,10,1)))</f>
        <v/>
      </c>
      <c r="L90" s="5" t="str">
        <f aca="false">IF($C90="","",SUMIFS(MOVIMIENTOS!$I:$I,MOVIMIENTOS!$D:$D,"Aporte",MOVIMIENTOS!$E:$E,"Anual",MOVIMIENTOS!$J:$J,$C90,MOVIMIENTOS!$B:$B,"&gt;="&amp;DATE(2026,10,1),MOVIMIENTOS!$B:$B,"&lt;"&amp;DATE(2026,11,1)))</f>
        <v/>
      </c>
      <c r="M90" s="5" t="str">
        <f aca="false">IF($C90="","",SUMIFS(MOVIMIENTOS!$I:$I,MOVIMIENTOS!$D:$D,"Aporte",MOVIMIENTOS!$E:$E,"Anual",MOVIMIENTOS!$J:$J,$C90,MOVIMIENTOS!$B:$B,"&gt;="&amp;DATE(2026,11,1),MOVIMIENTOS!$B:$B,"&lt;"&amp;DATE(2026,12,1)))</f>
        <v/>
      </c>
      <c r="N90" s="5" t="str">
        <f aca="false">IF($C90="","",SUMIFS(MOVIMIENTOS!$I:$I,MOVIMIENTOS!$D:$D,"Aporte",MOVIMIENTOS!$E:$E,"Anual",MOVIMIENTOS!$J:$J,$C90,MOVIMIENTOS!$B:$B,"&gt;="&amp;DATE(2026,12,1),MOVIMIENTOS!$B:$B,"&lt;"&amp;DATE(2026,13,1)))</f>
        <v/>
      </c>
      <c r="O90" s="5" t="str">
        <f aca="false">IF($C90="","",SUM(E90:N90))</f>
        <v/>
      </c>
      <c r="P90" s="5" t="str">
        <f aca="false">IF($C90="","",SUMIFS(MOVIMIENTOS!$I:$I,MOVIMIENTOS!$D:$D,"Aporte",MOVIMIENTOS!$E:$E,"Extraordinaria",MOVIMIENTOS!$F:$F,P$4,MOVIMIENTOS!$J:$J,$C90))</f>
        <v/>
      </c>
      <c r="Q90" s="5" t="str">
        <f aca="false">IF($C90="","",SUMIFS(MOVIMIENTOS!$I:$I,MOVIMIENTOS!$D:$D,"Aporte",MOVIMIENTOS!$E:$E,"Extraordinaria",MOVIMIENTOS!$F:$F,Q$4,MOVIMIENTOS!$J:$J,$C90))</f>
        <v/>
      </c>
      <c r="R90" s="5" t="str">
        <f aca="false">IF($C90="","",SUMIFS(MOVIMIENTOS!$I:$I,MOVIMIENTOS!$D:$D,"Aporte",MOVIMIENTOS!$E:$E,"Extraordinaria",MOVIMIENTOS!$F:$F,R$4,MOVIMIENTOS!$J:$J,$C90))</f>
        <v/>
      </c>
      <c r="S90" s="5" t="str">
        <f aca="false">IF($C90="","",SUMIFS(MOVIMIENTOS!$I:$I,MOVIMIENTOS!$D:$D,"Aporte",MOVIMIENTOS!$E:$E,"Extraordinaria",MOVIMIENTOS!$F:$F,S$4,MOVIMIENTOS!$J:$J,$C90))</f>
        <v/>
      </c>
      <c r="T90" s="5" t="str">
        <f aca="false">IF($C90="","",SUMIFS(MOVIMIENTOS!$I:$I,MOVIMIENTOS!$D:$D,"Aporte",MOVIMIENTOS!$E:$E,"Extraordinaria",MOVIMIENTOS!$F:$F,T$4,MOVIMIENTOS!$J:$J,$C90))</f>
        <v/>
      </c>
      <c r="U90" s="5" t="str">
        <f aca="false">IF($C90="","",SUMIFS(MOVIMIENTOS!$I:$I,MOVIMIENTOS!$D:$D,"Aporte",MOVIMIENTOS!$E:$E,"Extraordinaria",MOVIMIENTOS!$F:$F,U$4,MOVIMIENTOS!$J:$J,$C90))</f>
        <v/>
      </c>
      <c r="V90" s="5" t="str">
        <f aca="false">IF($C90="","",SUMIFS(MOVIMIENTOS!$I:$I,MOVIMIENTOS!$D:$D,"Aporte",MOVIMIENTOS!$E:$E,"Extraordinaria",MOVIMIENTOS!$F:$F,V$4,MOVIMIENTOS!$J:$J,$C90))</f>
        <v/>
      </c>
      <c r="W90" s="5" t="str">
        <f aca="false">IF($C90="","",SUM(P90:V90))</f>
        <v/>
      </c>
      <c r="X90" s="5" t="str">
        <f aca="false">IF($C90="","",O90+W90)</f>
        <v/>
      </c>
      <c r="Y90" s="12"/>
    </row>
    <row r="91" customFormat="false" ht="15" hidden="false" customHeight="false" outlineLevel="0" collapsed="false">
      <c r="A91" s="12"/>
      <c r="B91" s="12"/>
      <c r="C91" s="12"/>
      <c r="D91" s="12"/>
      <c r="E91" s="5" t="str">
        <f aca="false">IF($C91="","",SUMIFS(MOVIMIENTOS!$I:$I,MOVIMIENTOS!$D:$D,"Aporte",MOVIMIENTOS!$E:$E,"Anual",MOVIMIENTOS!$J:$J,$C91,MOVIMIENTOS!$B:$B,"&gt;="&amp;DATE(2026,3,1),MOVIMIENTOS!$B:$B,"&lt;"&amp;DATE(2026,4,1)))</f>
        <v/>
      </c>
      <c r="F91" s="5" t="str">
        <f aca="false">IF($C91="","",SUMIFS(MOVIMIENTOS!$I:$I,MOVIMIENTOS!$D:$D,"Aporte",MOVIMIENTOS!$E:$E,"Anual",MOVIMIENTOS!$J:$J,$C91,MOVIMIENTOS!$B:$B,"&gt;="&amp;DATE(2026,4,1),MOVIMIENTOS!$B:$B,"&lt;"&amp;DATE(2026,5,1)))</f>
        <v/>
      </c>
      <c r="G91" s="5" t="str">
        <f aca="false">IF($C91="","",SUMIFS(MOVIMIENTOS!$I:$I,MOVIMIENTOS!$D:$D,"Aporte",MOVIMIENTOS!$E:$E,"Anual",MOVIMIENTOS!$J:$J,$C91,MOVIMIENTOS!$B:$B,"&gt;="&amp;DATE(2026,5,1),MOVIMIENTOS!$B:$B,"&lt;"&amp;DATE(2026,6,1)))</f>
        <v/>
      </c>
      <c r="H91" s="5" t="str">
        <f aca="false">IF($C91="","",SUMIFS(MOVIMIENTOS!$I:$I,MOVIMIENTOS!$D:$D,"Aporte",MOVIMIENTOS!$E:$E,"Anual",MOVIMIENTOS!$J:$J,$C91,MOVIMIENTOS!$B:$B,"&gt;="&amp;DATE(2026,6,1),MOVIMIENTOS!$B:$B,"&lt;"&amp;DATE(2026,7,1)))</f>
        <v/>
      </c>
      <c r="I91" s="5" t="str">
        <f aca="false">IF($C91="","",SUMIFS(MOVIMIENTOS!$I:$I,MOVIMIENTOS!$D:$D,"Aporte",MOVIMIENTOS!$E:$E,"Anual",MOVIMIENTOS!$J:$J,$C91,MOVIMIENTOS!$B:$B,"&gt;="&amp;DATE(2026,7,1),MOVIMIENTOS!$B:$B,"&lt;"&amp;DATE(2026,8,1)))</f>
        <v/>
      </c>
      <c r="J91" s="5" t="str">
        <f aca="false">IF($C91="","",SUMIFS(MOVIMIENTOS!$I:$I,MOVIMIENTOS!$D:$D,"Aporte",MOVIMIENTOS!$E:$E,"Anual",MOVIMIENTOS!$J:$J,$C91,MOVIMIENTOS!$B:$B,"&gt;="&amp;DATE(2026,8,1),MOVIMIENTOS!$B:$B,"&lt;"&amp;DATE(2026,9,1)))</f>
        <v/>
      </c>
      <c r="K91" s="5" t="str">
        <f aca="false">IF($C91="","",SUMIFS(MOVIMIENTOS!$I:$I,MOVIMIENTOS!$D:$D,"Aporte",MOVIMIENTOS!$E:$E,"Anual",MOVIMIENTOS!$J:$J,$C91,MOVIMIENTOS!$B:$B,"&gt;="&amp;DATE(2026,9,1),MOVIMIENTOS!$B:$B,"&lt;"&amp;DATE(2026,10,1)))</f>
        <v/>
      </c>
      <c r="L91" s="5" t="str">
        <f aca="false">IF($C91="","",SUMIFS(MOVIMIENTOS!$I:$I,MOVIMIENTOS!$D:$D,"Aporte",MOVIMIENTOS!$E:$E,"Anual",MOVIMIENTOS!$J:$J,$C91,MOVIMIENTOS!$B:$B,"&gt;="&amp;DATE(2026,10,1),MOVIMIENTOS!$B:$B,"&lt;"&amp;DATE(2026,11,1)))</f>
        <v/>
      </c>
      <c r="M91" s="5" t="str">
        <f aca="false">IF($C91="","",SUMIFS(MOVIMIENTOS!$I:$I,MOVIMIENTOS!$D:$D,"Aporte",MOVIMIENTOS!$E:$E,"Anual",MOVIMIENTOS!$J:$J,$C91,MOVIMIENTOS!$B:$B,"&gt;="&amp;DATE(2026,11,1),MOVIMIENTOS!$B:$B,"&lt;"&amp;DATE(2026,12,1)))</f>
        <v/>
      </c>
      <c r="N91" s="5" t="str">
        <f aca="false">IF($C91="","",SUMIFS(MOVIMIENTOS!$I:$I,MOVIMIENTOS!$D:$D,"Aporte",MOVIMIENTOS!$E:$E,"Anual",MOVIMIENTOS!$J:$J,$C91,MOVIMIENTOS!$B:$B,"&gt;="&amp;DATE(2026,12,1),MOVIMIENTOS!$B:$B,"&lt;"&amp;DATE(2026,13,1)))</f>
        <v/>
      </c>
      <c r="O91" s="5" t="str">
        <f aca="false">IF($C91="","",SUM(E91:N91))</f>
        <v/>
      </c>
      <c r="P91" s="5" t="str">
        <f aca="false">IF($C91="","",SUMIFS(MOVIMIENTOS!$I:$I,MOVIMIENTOS!$D:$D,"Aporte",MOVIMIENTOS!$E:$E,"Extraordinaria",MOVIMIENTOS!$F:$F,P$4,MOVIMIENTOS!$J:$J,$C91))</f>
        <v/>
      </c>
      <c r="Q91" s="5" t="str">
        <f aca="false">IF($C91="","",SUMIFS(MOVIMIENTOS!$I:$I,MOVIMIENTOS!$D:$D,"Aporte",MOVIMIENTOS!$E:$E,"Extraordinaria",MOVIMIENTOS!$F:$F,Q$4,MOVIMIENTOS!$J:$J,$C91))</f>
        <v/>
      </c>
      <c r="R91" s="5" t="str">
        <f aca="false">IF($C91="","",SUMIFS(MOVIMIENTOS!$I:$I,MOVIMIENTOS!$D:$D,"Aporte",MOVIMIENTOS!$E:$E,"Extraordinaria",MOVIMIENTOS!$F:$F,R$4,MOVIMIENTOS!$J:$J,$C91))</f>
        <v/>
      </c>
      <c r="S91" s="5" t="str">
        <f aca="false">IF($C91="","",SUMIFS(MOVIMIENTOS!$I:$I,MOVIMIENTOS!$D:$D,"Aporte",MOVIMIENTOS!$E:$E,"Extraordinaria",MOVIMIENTOS!$F:$F,S$4,MOVIMIENTOS!$J:$J,$C91))</f>
        <v/>
      </c>
      <c r="T91" s="5" t="str">
        <f aca="false">IF($C91="","",SUMIFS(MOVIMIENTOS!$I:$I,MOVIMIENTOS!$D:$D,"Aporte",MOVIMIENTOS!$E:$E,"Extraordinaria",MOVIMIENTOS!$F:$F,T$4,MOVIMIENTOS!$J:$J,$C91))</f>
        <v/>
      </c>
      <c r="U91" s="5" t="str">
        <f aca="false">IF($C91="","",SUMIFS(MOVIMIENTOS!$I:$I,MOVIMIENTOS!$D:$D,"Aporte",MOVIMIENTOS!$E:$E,"Extraordinaria",MOVIMIENTOS!$F:$F,U$4,MOVIMIENTOS!$J:$J,$C91))</f>
        <v/>
      </c>
      <c r="V91" s="5" t="str">
        <f aca="false">IF($C91="","",SUMIFS(MOVIMIENTOS!$I:$I,MOVIMIENTOS!$D:$D,"Aporte",MOVIMIENTOS!$E:$E,"Extraordinaria",MOVIMIENTOS!$F:$F,V$4,MOVIMIENTOS!$J:$J,$C91))</f>
        <v/>
      </c>
      <c r="W91" s="5" t="str">
        <f aca="false">IF($C91="","",SUM(P91:V91))</f>
        <v/>
      </c>
      <c r="X91" s="5" t="str">
        <f aca="false">IF($C91="","",O91+W91)</f>
        <v/>
      </c>
      <c r="Y91" s="12"/>
    </row>
    <row r="92" customFormat="false" ht="15" hidden="false" customHeight="false" outlineLevel="0" collapsed="false">
      <c r="A92" s="12"/>
      <c r="B92" s="12"/>
      <c r="C92" s="12"/>
      <c r="D92" s="12"/>
      <c r="E92" s="5" t="str">
        <f aca="false">IF($C92="","",SUMIFS(MOVIMIENTOS!$I:$I,MOVIMIENTOS!$D:$D,"Aporte",MOVIMIENTOS!$E:$E,"Anual",MOVIMIENTOS!$J:$J,$C92,MOVIMIENTOS!$B:$B,"&gt;="&amp;DATE(2026,3,1),MOVIMIENTOS!$B:$B,"&lt;"&amp;DATE(2026,4,1)))</f>
        <v/>
      </c>
      <c r="F92" s="5" t="str">
        <f aca="false">IF($C92="","",SUMIFS(MOVIMIENTOS!$I:$I,MOVIMIENTOS!$D:$D,"Aporte",MOVIMIENTOS!$E:$E,"Anual",MOVIMIENTOS!$J:$J,$C92,MOVIMIENTOS!$B:$B,"&gt;="&amp;DATE(2026,4,1),MOVIMIENTOS!$B:$B,"&lt;"&amp;DATE(2026,5,1)))</f>
        <v/>
      </c>
      <c r="G92" s="5" t="str">
        <f aca="false">IF($C92="","",SUMIFS(MOVIMIENTOS!$I:$I,MOVIMIENTOS!$D:$D,"Aporte",MOVIMIENTOS!$E:$E,"Anual",MOVIMIENTOS!$J:$J,$C92,MOVIMIENTOS!$B:$B,"&gt;="&amp;DATE(2026,5,1),MOVIMIENTOS!$B:$B,"&lt;"&amp;DATE(2026,6,1)))</f>
        <v/>
      </c>
      <c r="H92" s="5" t="str">
        <f aca="false">IF($C92="","",SUMIFS(MOVIMIENTOS!$I:$I,MOVIMIENTOS!$D:$D,"Aporte",MOVIMIENTOS!$E:$E,"Anual",MOVIMIENTOS!$J:$J,$C92,MOVIMIENTOS!$B:$B,"&gt;="&amp;DATE(2026,6,1),MOVIMIENTOS!$B:$B,"&lt;"&amp;DATE(2026,7,1)))</f>
        <v/>
      </c>
      <c r="I92" s="5" t="str">
        <f aca="false">IF($C92="","",SUMIFS(MOVIMIENTOS!$I:$I,MOVIMIENTOS!$D:$D,"Aporte",MOVIMIENTOS!$E:$E,"Anual",MOVIMIENTOS!$J:$J,$C92,MOVIMIENTOS!$B:$B,"&gt;="&amp;DATE(2026,7,1),MOVIMIENTOS!$B:$B,"&lt;"&amp;DATE(2026,8,1)))</f>
        <v/>
      </c>
      <c r="J92" s="5" t="str">
        <f aca="false">IF($C92="","",SUMIFS(MOVIMIENTOS!$I:$I,MOVIMIENTOS!$D:$D,"Aporte",MOVIMIENTOS!$E:$E,"Anual",MOVIMIENTOS!$J:$J,$C92,MOVIMIENTOS!$B:$B,"&gt;="&amp;DATE(2026,8,1),MOVIMIENTOS!$B:$B,"&lt;"&amp;DATE(2026,9,1)))</f>
        <v/>
      </c>
      <c r="K92" s="5" t="str">
        <f aca="false">IF($C92="","",SUMIFS(MOVIMIENTOS!$I:$I,MOVIMIENTOS!$D:$D,"Aporte",MOVIMIENTOS!$E:$E,"Anual",MOVIMIENTOS!$J:$J,$C92,MOVIMIENTOS!$B:$B,"&gt;="&amp;DATE(2026,9,1),MOVIMIENTOS!$B:$B,"&lt;"&amp;DATE(2026,10,1)))</f>
        <v/>
      </c>
      <c r="L92" s="5" t="str">
        <f aca="false">IF($C92="","",SUMIFS(MOVIMIENTOS!$I:$I,MOVIMIENTOS!$D:$D,"Aporte",MOVIMIENTOS!$E:$E,"Anual",MOVIMIENTOS!$J:$J,$C92,MOVIMIENTOS!$B:$B,"&gt;="&amp;DATE(2026,10,1),MOVIMIENTOS!$B:$B,"&lt;"&amp;DATE(2026,11,1)))</f>
        <v/>
      </c>
      <c r="M92" s="5" t="str">
        <f aca="false">IF($C92="","",SUMIFS(MOVIMIENTOS!$I:$I,MOVIMIENTOS!$D:$D,"Aporte",MOVIMIENTOS!$E:$E,"Anual",MOVIMIENTOS!$J:$J,$C92,MOVIMIENTOS!$B:$B,"&gt;="&amp;DATE(2026,11,1),MOVIMIENTOS!$B:$B,"&lt;"&amp;DATE(2026,12,1)))</f>
        <v/>
      </c>
      <c r="N92" s="5" t="str">
        <f aca="false">IF($C92="","",SUMIFS(MOVIMIENTOS!$I:$I,MOVIMIENTOS!$D:$D,"Aporte",MOVIMIENTOS!$E:$E,"Anual",MOVIMIENTOS!$J:$J,$C92,MOVIMIENTOS!$B:$B,"&gt;="&amp;DATE(2026,12,1),MOVIMIENTOS!$B:$B,"&lt;"&amp;DATE(2026,13,1)))</f>
        <v/>
      </c>
      <c r="O92" s="5" t="str">
        <f aca="false">IF($C92="","",SUM(E92:N92))</f>
        <v/>
      </c>
      <c r="P92" s="5" t="str">
        <f aca="false">IF($C92="","",SUMIFS(MOVIMIENTOS!$I:$I,MOVIMIENTOS!$D:$D,"Aporte",MOVIMIENTOS!$E:$E,"Extraordinaria",MOVIMIENTOS!$F:$F,P$4,MOVIMIENTOS!$J:$J,$C92))</f>
        <v/>
      </c>
      <c r="Q92" s="5" t="str">
        <f aca="false">IF($C92="","",SUMIFS(MOVIMIENTOS!$I:$I,MOVIMIENTOS!$D:$D,"Aporte",MOVIMIENTOS!$E:$E,"Extraordinaria",MOVIMIENTOS!$F:$F,Q$4,MOVIMIENTOS!$J:$J,$C92))</f>
        <v/>
      </c>
      <c r="R92" s="5" t="str">
        <f aca="false">IF($C92="","",SUMIFS(MOVIMIENTOS!$I:$I,MOVIMIENTOS!$D:$D,"Aporte",MOVIMIENTOS!$E:$E,"Extraordinaria",MOVIMIENTOS!$F:$F,R$4,MOVIMIENTOS!$J:$J,$C92))</f>
        <v/>
      </c>
      <c r="S92" s="5" t="str">
        <f aca="false">IF($C92="","",SUMIFS(MOVIMIENTOS!$I:$I,MOVIMIENTOS!$D:$D,"Aporte",MOVIMIENTOS!$E:$E,"Extraordinaria",MOVIMIENTOS!$F:$F,S$4,MOVIMIENTOS!$J:$J,$C92))</f>
        <v/>
      </c>
      <c r="T92" s="5" t="str">
        <f aca="false">IF($C92="","",SUMIFS(MOVIMIENTOS!$I:$I,MOVIMIENTOS!$D:$D,"Aporte",MOVIMIENTOS!$E:$E,"Extraordinaria",MOVIMIENTOS!$F:$F,T$4,MOVIMIENTOS!$J:$J,$C92))</f>
        <v/>
      </c>
      <c r="U92" s="5" t="str">
        <f aca="false">IF($C92="","",SUMIFS(MOVIMIENTOS!$I:$I,MOVIMIENTOS!$D:$D,"Aporte",MOVIMIENTOS!$E:$E,"Extraordinaria",MOVIMIENTOS!$F:$F,U$4,MOVIMIENTOS!$J:$J,$C92))</f>
        <v/>
      </c>
      <c r="V92" s="5" t="str">
        <f aca="false">IF($C92="","",SUMIFS(MOVIMIENTOS!$I:$I,MOVIMIENTOS!$D:$D,"Aporte",MOVIMIENTOS!$E:$E,"Extraordinaria",MOVIMIENTOS!$F:$F,V$4,MOVIMIENTOS!$J:$J,$C92))</f>
        <v/>
      </c>
      <c r="W92" s="5" t="str">
        <f aca="false">IF($C92="","",SUM(P92:V92))</f>
        <v/>
      </c>
      <c r="X92" s="5" t="str">
        <f aca="false">IF($C92="","",O92+W92)</f>
        <v/>
      </c>
      <c r="Y92" s="12"/>
    </row>
    <row r="93" customFormat="false" ht="15" hidden="false" customHeight="false" outlineLevel="0" collapsed="false">
      <c r="A93" s="12"/>
      <c r="B93" s="12"/>
      <c r="C93" s="12"/>
      <c r="D93" s="12"/>
      <c r="E93" s="5" t="str">
        <f aca="false">IF($C93="","",SUMIFS(MOVIMIENTOS!$I:$I,MOVIMIENTOS!$D:$D,"Aporte",MOVIMIENTOS!$E:$E,"Anual",MOVIMIENTOS!$J:$J,$C93,MOVIMIENTOS!$B:$B,"&gt;="&amp;DATE(2026,3,1),MOVIMIENTOS!$B:$B,"&lt;"&amp;DATE(2026,4,1)))</f>
        <v/>
      </c>
      <c r="F93" s="5" t="str">
        <f aca="false">IF($C93="","",SUMIFS(MOVIMIENTOS!$I:$I,MOVIMIENTOS!$D:$D,"Aporte",MOVIMIENTOS!$E:$E,"Anual",MOVIMIENTOS!$J:$J,$C93,MOVIMIENTOS!$B:$B,"&gt;="&amp;DATE(2026,4,1),MOVIMIENTOS!$B:$B,"&lt;"&amp;DATE(2026,5,1)))</f>
        <v/>
      </c>
      <c r="G93" s="5" t="str">
        <f aca="false">IF($C93="","",SUMIFS(MOVIMIENTOS!$I:$I,MOVIMIENTOS!$D:$D,"Aporte",MOVIMIENTOS!$E:$E,"Anual",MOVIMIENTOS!$J:$J,$C93,MOVIMIENTOS!$B:$B,"&gt;="&amp;DATE(2026,5,1),MOVIMIENTOS!$B:$B,"&lt;"&amp;DATE(2026,6,1)))</f>
        <v/>
      </c>
      <c r="H93" s="5" t="str">
        <f aca="false">IF($C93="","",SUMIFS(MOVIMIENTOS!$I:$I,MOVIMIENTOS!$D:$D,"Aporte",MOVIMIENTOS!$E:$E,"Anual",MOVIMIENTOS!$J:$J,$C93,MOVIMIENTOS!$B:$B,"&gt;="&amp;DATE(2026,6,1),MOVIMIENTOS!$B:$B,"&lt;"&amp;DATE(2026,7,1)))</f>
        <v/>
      </c>
      <c r="I93" s="5" t="str">
        <f aca="false">IF($C93="","",SUMIFS(MOVIMIENTOS!$I:$I,MOVIMIENTOS!$D:$D,"Aporte",MOVIMIENTOS!$E:$E,"Anual",MOVIMIENTOS!$J:$J,$C93,MOVIMIENTOS!$B:$B,"&gt;="&amp;DATE(2026,7,1),MOVIMIENTOS!$B:$B,"&lt;"&amp;DATE(2026,8,1)))</f>
        <v/>
      </c>
      <c r="J93" s="5" t="str">
        <f aca="false">IF($C93="","",SUMIFS(MOVIMIENTOS!$I:$I,MOVIMIENTOS!$D:$D,"Aporte",MOVIMIENTOS!$E:$E,"Anual",MOVIMIENTOS!$J:$J,$C93,MOVIMIENTOS!$B:$B,"&gt;="&amp;DATE(2026,8,1),MOVIMIENTOS!$B:$B,"&lt;"&amp;DATE(2026,9,1)))</f>
        <v/>
      </c>
      <c r="K93" s="5" t="str">
        <f aca="false">IF($C93="","",SUMIFS(MOVIMIENTOS!$I:$I,MOVIMIENTOS!$D:$D,"Aporte",MOVIMIENTOS!$E:$E,"Anual",MOVIMIENTOS!$J:$J,$C93,MOVIMIENTOS!$B:$B,"&gt;="&amp;DATE(2026,9,1),MOVIMIENTOS!$B:$B,"&lt;"&amp;DATE(2026,10,1)))</f>
        <v/>
      </c>
      <c r="L93" s="5" t="str">
        <f aca="false">IF($C93="","",SUMIFS(MOVIMIENTOS!$I:$I,MOVIMIENTOS!$D:$D,"Aporte",MOVIMIENTOS!$E:$E,"Anual",MOVIMIENTOS!$J:$J,$C93,MOVIMIENTOS!$B:$B,"&gt;="&amp;DATE(2026,10,1),MOVIMIENTOS!$B:$B,"&lt;"&amp;DATE(2026,11,1)))</f>
        <v/>
      </c>
      <c r="M93" s="5" t="str">
        <f aca="false">IF($C93="","",SUMIFS(MOVIMIENTOS!$I:$I,MOVIMIENTOS!$D:$D,"Aporte",MOVIMIENTOS!$E:$E,"Anual",MOVIMIENTOS!$J:$J,$C93,MOVIMIENTOS!$B:$B,"&gt;="&amp;DATE(2026,11,1),MOVIMIENTOS!$B:$B,"&lt;"&amp;DATE(2026,12,1)))</f>
        <v/>
      </c>
      <c r="N93" s="5" t="str">
        <f aca="false">IF($C93="","",SUMIFS(MOVIMIENTOS!$I:$I,MOVIMIENTOS!$D:$D,"Aporte",MOVIMIENTOS!$E:$E,"Anual",MOVIMIENTOS!$J:$J,$C93,MOVIMIENTOS!$B:$B,"&gt;="&amp;DATE(2026,12,1),MOVIMIENTOS!$B:$B,"&lt;"&amp;DATE(2026,13,1)))</f>
        <v/>
      </c>
      <c r="O93" s="5" t="str">
        <f aca="false">IF($C93="","",SUM(E93:N93))</f>
        <v/>
      </c>
      <c r="P93" s="5" t="str">
        <f aca="false">IF($C93="","",SUMIFS(MOVIMIENTOS!$I:$I,MOVIMIENTOS!$D:$D,"Aporte",MOVIMIENTOS!$E:$E,"Extraordinaria",MOVIMIENTOS!$F:$F,P$4,MOVIMIENTOS!$J:$J,$C93))</f>
        <v/>
      </c>
      <c r="Q93" s="5" t="str">
        <f aca="false">IF($C93="","",SUMIFS(MOVIMIENTOS!$I:$I,MOVIMIENTOS!$D:$D,"Aporte",MOVIMIENTOS!$E:$E,"Extraordinaria",MOVIMIENTOS!$F:$F,Q$4,MOVIMIENTOS!$J:$J,$C93))</f>
        <v/>
      </c>
      <c r="R93" s="5" t="str">
        <f aca="false">IF($C93="","",SUMIFS(MOVIMIENTOS!$I:$I,MOVIMIENTOS!$D:$D,"Aporte",MOVIMIENTOS!$E:$E,"Extraordinaria",MOVIMIENTOS!$F:$F,R$4,MOVIMIENTOS!$J:$J,$C93))</f>
        <v/>
      </c>
      <c r="S93" s="5" t="str">
        <f aca="false">IF($C93="","",SUMIFS(MOVIMIENTOS!$I:$I,MOVIMIENTOS!$D:$D,"Aporte",MOVIMIENTOS!$E:$E,"Extraordinaria",MOVIMIENTOS!$F:$F,S$4,MOVIMIENTOS!$J:$J,$C93))</f>
        <v/>
      </c>
      <c r="T93" s="5" t="str">
        <f aca="false">IF($C93="","",SUMIFS(MOVIMIENTOS!$I:$I,MOVIMIENTOS!$D:$D,"Aporte",MOVIMIENTOS!$E:$E,"Extraordinaria",MOVIMIENTOS!$F:$F,T$4,MOVIMIENTOS!$J:$J,$C93))</f>
        <v/>
      </c>
      <c r="U93" s="5" t="str">
        <f aca="false">IF($C93="","",SUMIFS(MOVIMIENTOS!$I:$I,MOVIMIENTOS!$D:$D,"Aporte",MOVIMIENTOS!$E:$E,"Extraordinaria",MOVIMIENTOS!$F:$F,U$4,MOVIMIENTOS!$J:$J,$C93))</f>
        <v/>
      </c>
      <c r="V93" s="5" t="str">
        <f aca="false">IF($C93="","",SUMIFS(MOVIMIENTOS!$I:$I,MOVIMIENTOS!$D:$D,"Aporte",MOVIMIENTOS!$E:$E,"Extraordinaria",MOVIMIENTOS!$F:$F,V$4,MOVIMIENTOS!$J:$J,$C93))</f>
        <v/>
      </c>
      <c r="W93" s="5" t="str">
        <f aca="false">IF($C93="","",SUM(P93:V93))</f>
        <v/>
      </c>
      <c r="X93" s="5" t="str">
        <f aca="false">IF($C93="","",O93+W93)</f>
        <v/>
      </c>
      <c r="Y93" s="12"/>
    </row>
    <row r="94" customFormat="false" ht="15" hidden="false" customHeight="false" outlineLevel="0" collapsed="false">
      <c r="A94" s="12"/>
      <c r="B94" s="12"/>
      <c r="C94" s="12"/>
      <c r="D94" s="12"/>
      <c r="E94" s="5" t="str">
        <f aca="false">IF($C94="","",SUMIFS(MOVIMIENTOS!$I:$I,MOVIMIENTOS!$D:$D,"Aporte",MOVIMIENTOS!$E:$E,"Anual",MOVIMIENTOS!$J:$J,$C94,MOVIMIENTOS!$B:$B,"&gt;="&amp;DATE(2026,3,1),MOVIMIENTOS!$B:$B,"&lt;"&amp;DATE(2026,4,1)))</f>
        <v/>
      </c>
      <c r="F94" s="5" t="str">
        <f aca="false">IF($C94="","",SUMIFS(MOVIMIENTOS!$I:$I,MOVIMIENTOS!$D:$D,"Aporte",MOVIMIENTOS!$E:$E,"Anual",MOVIMIENTOS!$J:$J,$C94,MOVIMIENTOS!$B:$B,"&gt;="&amp;DATE(2026,4,1),MOVIMIENTOS!$B:$B,"&lt;"&amp;DATE(2026,5,1)))</f>
        <v/>
      </c>
      <c r="G94" s="5" t="str">
        <f aca="false">IF($C94="","",SUMIFS(MOVIMIENTOS!$I:$I,MOVIMIENTOS!$D:$D,"Aporte",MOVIMIENTOS!$E:$E,"Anual",MOVIMIENTOS!$J:$J,$C94,MOVIMIENTOS!$B:$B,"&gt;="&amp;DATE(2026,5,1),MOVIMIENTOS!$B:$B,"&lt;"&amp;DATE(2026,6,1)))</f>
        <v/>
      </c>
      <c r="H94" s="5" t="str">
        <f aca="false">IF($C94="","",SUMIFS(MOVIMIENTOS!$I:$I,MOVIMIENTOS!$D:$D,"Aporte",MOVIMIENTOS!$E:$E,"Anual",MOVIMIENTOS!$J:$J,$C94,MOVIMIENTOS!$B:$B,"&gt;="&amp;DATE(2026,6,1),MOVIMIENTOS!$B:$B,"&lt;"&amp;DATE(2026,7,1)))</f>
        <v/>
      </c>
      <c r="I94" s="5" t="str">
        <f aca="false">IF($C94="","",SUMIFS(MOVIMIENTOS!$I:$I,MOVIMIENTOS!$D:$D,"Aporte",MOVIMIENTOS!$E:$E,"Anual",MOVIMIENTOS!$J:$J,$C94,MOVIMIENTOS!$B:$B,"&gt;="&amp;DATE(2026,7,1),MOVIMIENTOS!$B:$B,"&lt;"&amp;DATE(2026,8,1)))</f>
        <v/>
      </c>
      <c r="J94" s="5" t="str">
        <f aca="false">IF($C94="","",SUMIFS(MOVIMIENTOS!$I:$I,MOVIMIENTOS!$D:$D,"Aporte",MOVIMIENTOS!$E:$E,"Anual",MOVIMIENTOS!$J:$J,$C94,MOVIMIENTOS!$B:$B,"&gt;="&amp;DATE(2026,8,1),MOVIMIENTOS!$B:$B,"&lt;"&amp;DATE(2026,9,1)))</f>
        <v/>
      </c>
      <c r="K94" s="5" t="str">
        <f aca="false">IF($C94="","",SUMIFS(MOVIMIENTOS!$I:$I,MOVIMIENTOS!$D:$D,"Aporte",MOVIMIENTOS!$E:$E,"Anual",MOVIMIENTOS!$J:$J,$C94,MOVIMIENTOS!$B:$B,"&gt;="&amp;DATE(2026,9,1),MOVIMIENTOS!$B:$B,"&lt;"&amp;DATE(2026,10,1)))</f>
        <v/>
      </c>
      <c r="L94" s="5" t="str">
        <f aca="false">IF($C94="","",SUMIFS(MOVIMIENTOS!$I:$I,MOVIMIENTOS!$D:$D,"Aporte",MOVIMIENTOS!$E:$E,"Anual",MOVIMIENTOS!$J:$J,$C94,MOVIMIENTOS!$B:$B,"&gt;="&amp;DATE(2026,10,1),MOVIMIENTOS!$B:$B,"&lt;"&amp;DATE(2026,11,1)))</f>
        <v/>
      </c>
      <c r="M94" s="5" t="str">
        <f aca="false">IF($C94="","",SUMIFS(MOVIMIENTOS!$I:$I,MOVIMIENTOS!$D:$D,"Aporte",MOVIMIENTOS!$E:$E,"Anual",MOVIMIENTOS!$J:$J,$C94,MOVIMIENTOS!$B:$B,"&gt;="&amp;DATE(2026,11,1),MOVIMIENTOS!$B:$B,"&lt;"&amp;DATE(2026,12,1)))</f>
        <v/>
      </c>
      <c r="N94" s="5" t="str">
        <f aca="false">IF($C94="","",SUMIFS(MOVIMIENTOS!$I:$I,MOVIMIENTOS!$D:$D,"Aporte",MOVIMIENTOS!$E:$E,"Anual",MOVIMIENTOS!$J:$J,$C94,MOVIMIENTOS!$B:$B,"&gt;="&amp;DATE(2026,12,1),MOVIMIENTOS!$B:$B,"&lt;"&amp;DATE(2026,13,1)))</f>
        <v/>
      </c>
      <c r="O94" s="5" t="str">
        <f aca="false">IF($C94="","",SUM(E94:N94))</f>
        <v/>
      </c>
      <c r="P94" s="5" t="str">
        <f aca="false">IF($C94="","",SUMIFS(MOVIMIENTOS!$I:$I,MOVIMIENTOS!$D:$D,"Aporte",MOVIMIENTOS!$E:$E,"Extraordinaria",MOVIMIENTOS!$F:$F,P$4,MOVIMIENTOS!$J:$J,$C94))</f>
        <v/>
      </c>
      <c r="Q94" s="5" t="str">
        <f aca="false">IF($C94="","",SUMIFS(MOVIMIENTOS!$I:$I,MOVIMIENTOS!$D:$D,"Aporte",MOVIMIENTOS!$E:$E,"Extraordinaria",MOVIMIENTOS!$F:$F,Q$4,MOVIMIENTOS!$J:$J,$C94))</f>
        <v/>
      </c>
      <c r="R94" s="5" t="str">
        <f aca="false">IF($C94="","",SUMIFS(MOVIMIENTOS!$I:$I,MOVIMIENTOS!$D:$D,"Aporte",MOVIMIENTOS!$E:$E,"Extraordinaria",MOVIMIENTOS!$F:$F,R$4,MOVIMIENTOS!$J:$J,$C94))</f>
        <v/>
      </c>
      <c r="S94" s="5" t="str">
        <f aca="false">IF($C94="","",SUMIFS(MOVIMIENTOS!$I:$I,MOVIMIENTOS!$D:$D,"Aporte",MOVIMIENTOS!$E:$E,"Extraordinaria",MOVIMIENTOS!$F:$F,S$4,MOVIMIENTOS!$J:$J,$C94))</f>
        <v/>
      </c>
      <c r="T94" s="5" t="str">
        <f aca="false">IF($C94="","",SUMIFS(MOVIMIENTOS!$I:$I,MOVIMIENTOS!$D:$D,"Aporte",MOVIMIENTOS!$E:$E,"Extraordinaria",MOVIMIENTOS!$F:$F,T$4,MOVIMIENTOS!$J:$J,$C94))</f>
        <v/>
      </c>
      <c r="U94" s="5" t="str">
        <f aca="false">IF($C94="","",SUMIFS(MOVIMIENTOS!$I:$I,MOVIMIENTOS!$D:$D,"Aporte",MOVIMIENTOS!$E:$E,"Extraordinaria",MOVIMIENTOS!$F:$F,U$4,MOVIMIENTOS!$J:$J,$C94))</f>
        <v/>
      </c>
      <c r="V94" s="5" t="str">
        <f aca="false">IF($C94="","",SUMIFS(MOVIMIENTOS!$I:$I,MOVIMIENTOS!$D:$D,"Aporte",MOVIMIENTOS!$E:$E,"Extraordinaria",MOVIMIENTOS!$F:$F,V$4,MOVIMIENTOS!$J:$J,$C94))</f>
        <v/>
      </c>
      <c r="W94" s="5" t="str">
        <f aca="false">IF($C94="","",SUM(P94:V94))</f>
        <v/>
      </c>
      <c r="X94" s="5" t="str">
        <f aca="false">IF($C94="","",O94+W94)</f>
        <v/>
      </c>
      <c r="Y94" s="12"/>
    </row>
    <row r="95" customFormat="false" ht="15" hidden="false" customHeight="false" outlineLevel="0" collapsed="false">
      <c r="A95" s="12"/>
      <c r="B95" s="12"/>
      <c r="C95" s="12"/>
      <c r="D95" s="12"/>
      <c r="E95" s="5" t="str">
        <f aca="false">IF($C95="","",SUMIFS(MOVIMIENTOS!$I:$I,MOVIMIENTOS!$D:$D,"Aporte",MOVIMIENTOS!$E:$E,"Anual",MOVIMIENTOS!$J:$J,$C95,MOVIMIENTOS!$B:$B,"&gt;="&amp;DATE(2026,3,1),MOVIMIENTOS!$B:$B,"&lt;"&amp;DATE(2026,4,1)))</f>
        <v/>
      </c>
      <c r="F95" s="5" t="str">
        <f aca="false">IF($C95="","",SUMIFS(MOVIMIENTOS!$I:$I,MOVIMIENTOS!$D:$D,"Aporte",MOVIMIENTOS!$E:$E,"Anual",MOVIMIENTOS!$J:$J,$C95,MOVIMIENTOS!$B:$B,"&gt;="&amp;DATE(2026,4,1),MOVIMIENTOS!$B:$B,"&lt;"&amp;DATE(2026,5,1)))</f>
        <v/>
      </c>
      <c r="G95" s="5" t="str">
        <f aca="false">IF($C95="","",SUMIFS(MOVIMIENTOS!$I:$I,MOVIMIENTOS!$D:$D,"Aporte",MOVIMIENTOS!$E:$E,"Anual",MOVIMIENTOS!$J:$J,$C95,MOVIMIENTOS!$B:$B,"&gt;="&amp;DATE(2026,5,1),MOVIMIENTOS!$B:$B,"&lt;"&amp;DATE(2026,6,1)))</f>
        <v/>
      </c>
      <c r="H95" s="5" t="str">
        <f aca="false">IF($C95="","",SUMIFS(MOVIMIENTOS!$I:$I,MOVIMIENTOS!$D:$D,"Aporte",MOVIMIENTOS!$E:$E,"Anual",MOVIMIENTOS!$J:$J,$C95,MOVIMIENTOS!$B:$B,"&gt;="&amp;DATE(2026,6,1),MOVIMIENTOS!$B:$B,"&lt;"&amp;DATE(2026,7,1)))</f>
        <v/>
      </c>
      <c r="I95" s="5" t="str">
        <f aca="false">IF($C95="","",SUMIFS(MOVIMIENTOS!$I:$I,MOVIMIENTOS!$D:$D,"Aporte",MOVIMIENTOS!$E:$E,"Anual",MOVIMIENTOS!$J:$J,$C95,MOVIMIENTOS!$B:$B,"&gt;="&amp;DATE(2026,7,1),MOVIMIENTOS!$B:$B,"&lt;"&amp;DATE(2026,8,1)))</f>
        <v/>
      </c>
      <c r="J95" s="5" t="str">
        <f aca="false">IF($C95="","",SUMIFS(MOVIMIENTOS!$I:$I,MOVIMIENTOS!$D:$D,"Aporte",MOVIMIENTOS!$E:$E,"Anual",MOVIMIENTOS!$J:$J,$C95,MOVIMIENTOS!$B:$B,"&gt;="&amp;DATE(2026,8,1),MOVIMIENTOS!$B:$B,"&lt;"&amp;DATE(2026,9,1)))</f>
        <v/>
      </c>
      <c r="K95" s="5" t="str">
        <f aca="false">IF($C95="","",SUMIFS(MOVIMIENTOS!$I:$I,MOVIMIENTOS!$D:$D,"Aporte",MOVIMIENTOS!$E:$E,"Anual",MOVIMIENTOS!$J:$J,$C95,MOVIMIENTOS!$B:$B,"&gt;="&amp;DATE(2026,9,1),MOVIMIENTOS!$B:$B,"&lt;"&amp;DATE(2026,10,1)))</f>
        <v/>
      </c>
      <c r="L95" s="5" t="str">
        <f aca="false">IF($C95="","",SUMIFS(MOVIMIENTOS!$I:$I,MOVIMIENTOS!$D:$D,"Aporte",MOVIMIENTOS!$E:$E,"Anual",MOVIMIENTOS!$J:$J,$C95,MOVIMIENTOS!$B:$B,"&gt;="&amp;DATE(2026,10,1),MOVIMIENTOS!$B:$B,"&lt;"&amp;DATE(2026,11,1)))</f>
        <v/>
      </c>
      <c r="M95" s="5" t="str">
        <f aca="false">IF($C95="","",SUMIFS(MOVIMIENTOS!$I:$I,MOVIMIENTOS!$D:$D,"Aporte",MOVIMIENTOS!$E:$E,"Anual",MOVIMIENTOS!$J:$J,$C95,MOVIMIENTOS!$B:$B,"&gt;="&amp;DATE(2026,11,1),MOVIMIENTOS!$B:$B,"&lt;"&amp;DATE(2026,12,1)))</f>
        <v/>
      </c>
      <c r="N95" s="5" t="str">
        <f aca="false">IF($C95="","",SUMIFS(MOVIMIENTOS!$I:$I,MOVIMIENTOS!$D:$D,"Aporte",MOVIMIENTOS!$E:$E,"Anual",MOVIMIENTOS!$J:$J,$C95,MOVIMIENTOS!$B:$B,"&gt;="&amp;DATE(2026,12,1),MOVIMIENTOS!$B:$B,"&lt;"&amp;DATE(2026,13,1)))</f>
        <v/>
      </c>
      <c r="O95" s="5" t="str">
        <f aca="false">IF($C95="","",SUM(E95:N95))</f>
        <v/>
      </c>
      <c r="P95" s="5" t="str">
        <f aca="false">IF($C95="","",SUMIFS(MOVIMIENTOS!$I:$I,MOVIMIENTOS!$D:$D,"Aporte",MOVIMIENTOS!$E:$E,"Extraordinaria",MOVIMIENTOS!$F:$F,P$4,MOVIMIENTOS!$J:$J,$C95))</f>
        <v/>
      </c>
      <c r="Q95" s="5" t="str">
        <f aca="false">IF($C95="","",SUMIFS(MOVIMIENTOS!$I:$I,MOVIMIENTOS!$D:$D,"Aporte",MOVIMIENTOS!$E:$E,"Extraordinaria",MOVIMIENTOS!$F:$F,Q$4,MOVIMIENTOS!$J:$J,$C95))</f>
        <v/>
      </c>
      <c r="R95" s="5" t="str">
        <f aca="false">IF($C95="","",SUMIFS(MOVIMIENTOS!$I:$I,MOVIMIENTOS!$D:$D,"Aporte",MOVIMIENTOS!$E:$E,"Extraordinaria",MOVIMIENTOS!$F:$F,R$4,MOVIMIENTOS!$J:$J,$C95))</f>
        <v/>
      </c>
      <c r="S95" s="5" t="str">
        <f aca="false">IF($C95="","",SUMIFS(MOVIMIENTOS!$I:$I,MOVIMIENTOS!$D:$D,"Aporte",MOVIMIENTOS!$E:$E,"Extraordinaria",MOVIMIENTOS!$F:$F,S$4,MOVIMIENTOS!$J:$J,$C95))</f>
        <v/>
      </c>
      <c r="T95" s="5" t="str">
        <f aca="false">IF($C95="","",SUMIFS(MOVIMIENTOS!$I:$I,MOVIMIENTOS!$D:$D,"Aporte",MOVIMIENTOS!$E:$E,"Extraordinaria",MOVIMIENTOS!$F:$F,T$4,MOVIMIENTOS!$J:$J,$C95))</f>
        <v/>
      </c>
      <c r="U95" s="5" t="str">
        <f aca="false">IF($C95="","",SUMIFS(MOVIMIENTOS!$I:$I,MOVIMIENTOS!$D:$D,"Aporte",MOVIMIENTOS!$E:$E,"Extraordinaria",MOVIMIENTOS!$F:$F,U$4,MOVIMIENTOS!$J:$J,$C95))</f>
        <v/>
      </c>
      <c r="V95" s="5" t="str">
        <f aca="false">IF($C95="","",SUMIFS(MOVIMIENTOS!$I:$I,MOVIMIENTOS!$D:$D,"Aporte",MOVIMIENTOS!$E:$E,"Extraordinaria",MOVIMIENTOS!$F:$F,V$4,MOVIMIENTOS!$J:$J,$C95))</f>
        <v/>
      </c>
      <c r="W95" s="5" t="str">
        <f aca="false">IF($C95="","",SUM(P95:V95))</f>
        <v/>
      </c>
      <c r="X95" s="5" t="str">
        <f aca="false">IF($C95="","",O95+W95)</f>
        <v/>
      </c>
      <c r="Y95" s="12"/>
    </row>
    <row r="96" customFormat="false" ht="15" hidden="false" customHeight="false" outlineLevel="0" collapsed="false">
      <c r="A96" s="12"/>
      <c r="B96" s="12"/>
      <c r="C96" s="12"/>
      <c r="D96" s="12"/>
      <c r="E96" s="5" t="str">
        <f aca="false">IF($C96="","",SUMIFS(MOVIMIENTOS!$I:$I,MOVIMIENTOS!$D:$D,"Aporte",MOVIMIENTOS!$E:$E,"Anual",MOVIMIENTOS!$J:$J,$C96,MOVIMIENTOS!$B:$B,"&gt;="&amp;DATE(2026,3,1),MOVIMIENTOS!$B:$B,"&lt;"&amp;DATE(2026,4,1)))</f>
        <v/>
      </c>
      <c r="F96" s="5" t="str">
        <f aca="false">IF($C96="","",SUMIFS(MOVIMIENTOS!$I:$I,MOVIMIENTOS!$D:$D,"Aporte",MOVIMIENTOS!$E:$E,"Anual",MOVIMIENTOS!$J:$J,$C96,MOVIMIENTOS!$B:$B,"&gt;="&amp;DATE(2026,4,1),MOVIMIENTOS!$B:$B,"&lt;"&amp;DATE(2026,5,1)))</f>
        <v/>
      </c>
      <c r="G96" s="5" t="str">
        <f aca="false">IF($C96="","",SUMIFS(MOVIMIENTOS!$I:$I,MOVIMIENTOS!$D:$D,"Aporte",MOVIMIENTOS!$E:$E,"Anual",MOVIMIENTOS!$J:$J,$C96,MOVIMIENTOS!$B:$B,"&gt;="&amp;DATE(2026,5,1),MOVIMIENTOS!$B:$B,"&lt;"&amp;DATE(2026,6,1)))</f>
        <v/>
      </c>
      <c r="H96" s="5" t="str">
        <f aca="false">IF($C96="","",SUMIFS(MOVIMIENTOS!$I:$I,MOVIMIENTOS!$D:$D,"Aporte",MOVIMIENTOS!$E:$E,"Anual",MOVIMIENTOS!$J:$J,$C96,MOVIMIENTOS!$B:$B,"&gt;="&amp;DATE(2026,6,1),MOVIMIENTOS!$B:$B,"&lt;"&amp;DATE(2026,7,1)))</f>
        <v/>
      </c>
      <c r="I96" s="5" t="str">
        <f aca="false">IF($C96="","",SUMIFS(MOVIMIENTOS!$I:$I,MOVIMIENTOS!$D:$D,"Aporte",MOVIMIENTOS!$E:$E,"Anual",MOVIMIENTOS!$J:$J,$C96,MOVIMIENTOS!$B:$B,"&gt;="&amp;DATE(2026,7,1),MOVIMIENTOS!$B:$B,"&lt;"&amp;DATE(2026,8,1)))</f>
        <v/>
      </c>
      <c r="J96" s="5" t="str">
        <f aca="false">IF($C96="","",SUMIFS(MOVIMIENTOS!$I:$I,MOVIMIENTOS!$D:$D,"Aporte",MOVIMIENTOS!$E:$E,"Anual",MOVIMIENTOS!$J:$J,$C96,MOVIMIENTOS!$B:$B,"&gt;="&amp;DATE(2026,8,1),MOVIMIENTOS!$B:$B,"&lt;"&amp;DATE(2026,9,1)))</f>
        <v/>
      </c>
      <c r="K96" s="5" t="str">
        <f aca="false">IF($C96="","",SUMIFS(MOVIMIENTOS!$I:$I,MOVIMIENTOS!$D:$D,"Aporte",MOVIMIENTOS!$E:$E,"Anual",MOVIMIENTOS!$J:$J,$C96,MOVIMIENTOS!$B:$B,"&gt;="&amp;DATE(2026,9,1),MOVIMIENTOS!$B:$B,"&lt;"&amp;DATE(2026,10,1)))</f>
        <v/>
      </c>
      <c r="L96" s="5" t="str">
        <f aca="false">IF($C96="","",SUMIFS(MOVIMIENTOS!$I:$I,MOVIMIENTOS!$D:$D,"Aporte",MOVIMIENTOS!$E:$E,"Anual",MOVIMIENTOS!$J:$J,$C96,MOVIMIENTOS!$B:$B,"&gt;="&amp;DATE(2026,10,1),MOVIMIENTOS!$B:$B,"&lt;"&amp;DATE(2026,11,1)))</f>
        <v/>
      </c>
      <c r="M96" s="5" t="str">
        <f aca="false">IF($C96="","",SUMIFS(MOVIMIENTOS!$I:$I,MOVIMIENTOS!$D:$D,"Aporte",MOVIMIENTOS!$E:$E,"Anual",MOVIMIENTOS!$J:$J,$C96,MOVIMIENTOS!$B:$B,"&gt;="&amp;DATE(2026,11,1),MOVIMIENTOS!$B:$B,"&lt;"&amp;DATE(2026,12,1)))</f>
        <v/>
      </c>
      <c r="N96" s="5" t="str">
        <f aca="false">IF($C96="","",SUMIFS(MOVIMIENTOS!$I:$I,MOVIMIENTOS!$D:$D,"Aporte",MOVIMIENTOS!$E:$E,"Anual",MOVIMIENTOS!$J:$J,$C96,MOVIMIENTOS!$B:$B,"&gt;="&amp;DATE(2026,12,1),MOVIMIENTOS!$B:$B,"&lt;"&amp;DATE(2026,13,1)))</f>
        <v/>
      </c>
      <c r="O96" s="5" t="str">
        <f aca="false">IF($C96="","",SUM(E96:N96))</f>
        <v/>
      </c>
      <c r="P96" s="5" t="str">
        <f aca="false">IF($C96="","",SUMIFS(MOVIMIENTOS!$I:$I,MOVIMIENTOS!$D:$D,"Aporte",MOVIMIENTOS!$E:$E,"Extraordinaria",MOVIMIENTOS!$F:$F,P$4,MOVIMIENTOS!$J:$J,$C96))</f>
        <v/>
      </c>
      <c r="Q96" s="5" t="str">
        <f aca="false">IF($C96="","",SUMIFS(MOVIMIENTOS!$I:$I,MOVIMIENTOS!$D:$D,"Aporte",MOVIMIENTOS!$E:$E,"Extraordinaria",MOVIMIENTOS!$F:$F,Q$4,MOVIMIENTOS!$J:$J,$C96))</f>
        <v/>
      </c>
      <c r="R96" s="5" t="str">
        <f aca="false">IF($C96="","",SUMIFS(MOVIMIENTOS!$I:$I,MOVIMIENTOS!$D:$D,"Aporte",MOVIMIENTOS!$E:$E,"Extraordinaria",MOVIMIENTOS!$F:$F,R$4,MOVIMIENTOS!$J:$J,$C96))</f>
        <v/>
      </c>
      <c r="S96" s="5" t="str">
        <f aca="false">IF($C96="","",SUMIFS(MOVIMIENTOS!$I:$I,MOVIMIENTOS!$D:$D,"Aporte",MOVIMIENTOS!$E:$E,"Extraordinaria",MOVIMIENTOS!$F:$F,S$4,MOVIMIENTOS!$J:$J,$C96))</f>
        <v/>
      </c>
      <c r="T96" s="5" t="str">
        <f aca="false">IF($C96="","",SUMIFS(MOVIMIENTOS!$I:$I,MOVIMIENTOS!$D:$D,"Aporte",MOVIMIENTOS!$E:$E,"Extraordinaria",MOVIMIENTOS!$F:$F,T$4,MOVIMIENTOS!$J:$J,$C96))</f>
        <v/>
      </c>
      <c r="U96" s="5" t="str">
        <f aca="false">IF($C96="","",SUMIFS(MOVIMIENTOS!$I:$I,MOVIMIENTOS!$D:$D,"Aporte",MOVIMIENTOS!$E:$E,"Extraordinaria",MOVIMIENTOS!$F:$F,U$4,MOVIMIENTOS!$J:$J,$C96))</f>
        <v/>
      </c>
      <c r="V96" s="5" t="str">
        <f aca="false">IF($C96="","",SUMIFS(MOVIMIENTOS!$I:$I,MOVIMIENTOS!$D:$D,"Aporte",MOVIMIENTOS!$E:$E,"Extraordinaria",MOVIMIENTOS!$F:$F,V$4,MOVIMIENTOS!$J:$J,$C96))</f>
        <v/>
      </c>
      <c r="W96" s="5" t="str">
        <f aca="false">IF($C96="","",SUM(P96:V96))</f>
        <v/>
      </c>
      <c r="X96" s="5" t="str">
        <f aca="false">IF($C96="","",O96+W96)</f>
        <v/>
      </c>
      <c r="Y96" s="12"/>
    </row>
    <row r="97" customFormat="false" ht="15" hidden="false" customHeight="false" outlineLevel="0" collapsed="false">
      <c r="A97" s="12"/>
      <c r="B97" s="12"/>
      <c r="C97" s="12"/>
      <c r="D97" s="12"/>
      <c r="E97" s="5" t="str">
        <f aca="false">IF($C97="","",SUMIFS(MOVIMIENTOS!$I:$I,MOVIMIENTOS!$D:$D,"Aporte",MOVIMIENTOS!$E:$E,"Anual",MOVIMIENTOS!$J:$J,$C97,MOVIMIENTOS!$B:$B,"&gt;="&amp;DATE(2026,3,1),MOVIMIENTOS!$B:$B,"&lt;"&amp;DATE(2026,4,1)))</f>
        <v/>
      </c>
      <c r="F97" s="5" t="str">
        <f aca="false">IF($C97="","",SUMIFS(MOVIMIENTOS!$I:$I,MOVIMIENTOS!$D:$D,"Aporte",MOVIMIENTOS!$E:$E,"Anual",MOVIMIENTOS!$J:$J,$C97,MOVIMIENTOS!$B:$B,"&gt;="&amp;DATE(2026,4,1),MOVIMIENTOS!$B:$B,"&lt;"&amp;DATE(2026,5,1)))</f>
        <v/>
      </c>
      <c r="G97" s="5" t="str">
        <f aca="false">IF($C97="","",SUMIFS(MOVIMIENTOS!$I:$I,MOVIMIENTOS!$D:$D,"Aporte",MOVIMIENTOS!$E:$E,"Anual",MOVIMIENTOS!$J:$J,$C97,MOVIMIENTOS!$B:$B,"&gt;="&amp;DATE(2026,5,1),MOVIMIENTOS!$B:$B,"&lt;"&amp;DATE(2026,6,1)))</f>
        <v/>
      </c>
      <c r="H97" s="5" t="str">
        <f aca="false">IF($C97="","",SUMIFS(MOVIMIENTOS!$I:$I,MOVIMIENTOS!$D:$D,"Aporte",MOVIMIENTOS!$E:$E,"Anual",MOVIMIENTOS!$J:$J,$C97,MOVIMIENTOS!$B:$B,"&gt;="&amp;DATE(2026,6,1),MOVIMIENTOS!$B:$B,"&lt;"&amp;DATE(2026,7,1)))</f>
        <v/>
      </c>
      <c r="I97" s="5" t="str">
        <f aca="false">IF($C97="","",SUMIFS(MOVIMIENTOS!$I:$I,MOVIMIENTOS!$D:$D,"Aporte",MOVIMIENTOS!$E:$E,"Anual",MOVIMIENTOS!$J:$J,$C97,MOVIMIENTOS!$B:$B,"&gt;="&amp;DATE(2026,7,1),MOVIMIENTOS!$B:$B,"&lt;"&amp;DATE(2026,8,1)))</f>
        <v/>
      </c>
      <c r="J97" s="5" t="str">
        <f aca="false">IF($C97="","",SUMIFS(MOVIMIENTOS!$I:$I,MOVIMIENTOS!$D:$D,"Aporte",MOVIMIENTOS!$E:$E,"Anual",MOVIMIENTOS!$J:$J,$C97,MOVIMIENTOS!$B:$B,"&gt;="&amp;DATE(2026,8,1),MOVIMIENTOS!$B:$B,"&lt;"&amp;DATE(2026,9,1)))</f>
        <v/>
      </c>
      <c r="K97" s="5" t="str">
        <f aca="false">IF($C97="","",SUMIFS(MOVIMIENTOS!$I:$I,MOVIMIENTOS!$D:$D,"Aporte",MOVIMIENTOS!$E:$E,"Anual",MOVIMIENTOS!$J:$J,$C97,MOVIMIENTOS!$B:$B,"&gt;="&amp;DATE(2026,9,1),MOVIMIENTOS!$B:$B,"&lt;"&amp;DATE(2026,10,1)))</f>
        <v/>
      </c>
      <c r="L97" s="5" t="str">
        <f aca="false">IF($C97="","",SUMIFS(MOVIMIENTOS!$I:$I,MOVIMIENTOS!$D:$D,"Aporte",MOVIMIENTOS!$E:$E,"Anual",MOVIMIENTOS!$J:$J,$C97,MOVIMIENTOS!$B:$B,"&gt;="&amp;DATE(2026,10,1),MOVIMIENTOS!$B:$B,"&lt;"&amp;DATE(2026,11,1)))</f>
        <v/>
      </c>
      <c r="M97" s="5" t="str">
        <f aca="false">IF($C97="","",SUMIFS(MOVIMIENTOS!$I:$I,MOVIMIENTOS!$D:$D,"Aporte",MOVIMIENTOS!$E:$E,"Anual",MOVIMIENTOS!$J:$J,$C97,MOVIMIENTOS!$B:$B,"&gt;="&amp;DATE(2026,11,1),MOVIMIENTOS!$B:$B,"&lt;"&amp;DATE(2026,12,1)))</f>
        <v/>
      </c>
      <c r="N97" s="5" t="str">
        <f aca="false">IF($C97="","",SUMIFS(MOVIMIENTOS!$I:$I,MOVIMIENTOS!$D:$D,"Aporte",MOVIMIENTOS!$E:$E,"Anual",MOVIMIENTOS!$J:$J,$C97,MOVIMIENTOS!$B:$B,"&gt;="&amp;DATE(2026,12,1),MOVIMIENTOS!$B:$B,"&lt;"&amp;DATE(2026,13,1)))</f>
        <v/>
      </c>
      <c r="O97" s="5" t="str">
        <f aca="false">IF($C97="","",SUM(E97:N97))</f>
        <v/>
      </c>
      <c r="P97" s="5" t="str">
        <f aca="false">IF($C97="","",SUMIFS(MOVIMIENTOS!$I:$I,MOVIMIENTOS!$D:$D,"Aporte",MOVIMIENTOS!$E:$E,"Extraordinaria",MOVIMIENTOS!$F:$F,P$4,MOVIMIENTOS!$J:$J,$C97))</f>
        <v/>
      </c>
      <c r="Q97" s="5" t="str">
        <f aca="false">IF($C97="","",SUMIFS(MOVIMIENTOS!$I:$I,MOVIMIENTOS!$D:$D,"Aporte",MOVIMIENTOS!$E:$E,"Extraordinaria",MOVIMIENTOS!$F:$F,Q$4,MOVIMIENTOS!$J:$J,$C97))</f>
        <v/>
      </c>
      <c r="R97" s="5" t="str">
        <f aca="false">IF($C97="","",SUMIFS(MOVIMIENTOS!$I:$I,MOVIMIENTOS!$D:$D,"Aporte",MOVIMIENTOS!$E:$E,"Extraordinaria",MOVIMIENTOS!$F:$F,R$4,MOVIMIENTOS!$J:$J,$C97))</f>
        <v/>
      </c>
      <c r="S97" s="5" t="str">
        <f aca="false">IF($C97="","",SUMIFS(MOVIMIENTOS!$I:$I,MOVIMIENTOS!$D:$D,"Aporte",MOVIMIENTOS!$E:$E,"Extraordinaria",MOVIMIENTOS!$F:$F,S$4,MOVIMIENTOS!$J:$J,$C97))</f>
        <v/>
      </c>
      <c r="T97" s="5" t="str">
        <f aca="false">IF($C97="","",SUMIFS(MOVIMIENTOS!$I:$I,MOVIMIENTOS!$D:$D,"Aporte",MOVIMIENTOS!$E:$E,"Extraordinaria",MOVIMIENTOS!$F:$F,T$4,MOVIMIENTOS!$J:$J,$C97))</f>
        <v/>
      </c>
      <c r="U97" s="5" t="str">
        <f aca="false">IF($C97="","",SUMIFS(MOVIMIENTOS!$I:$I,MOVIMIENTOS!$D:$D,"Aporte",MOVIMIENTOS!$E:$E,"Extraordinaria",MOVIMIENTOS!$F:$F,U$4,MOVIMIENTOS!$J:$J,$C97))</f>
        <v/>
      </c>
      <c r="V97" s="5" t="str">
        <f aca="false">IF($C97="","",SUMIFS(MOVIMIENTOS!$I:$I,MOVIMIENTOS!$D:$D,"Aporte",MOVIMIENTOS!$E:$E,"Extraordinaria",MOVIMIENTOS!$F:$F,V$4,MOVIMIENTOS!$J:$J,$C97))</f>
        <v/>
      </c>
      <c r="W97" s="5" t="str">
        <f aca="false">IF($C97="","",SUM(P97:V97))</f>
        <v/>
      </c>
      <c r="X97" s="5" t="str">
        <f aca="false">IF($C97="","",O97+W97)</f>
        <v/>
      </c>
      <c r="Y97" s="12"/>
    </row>
    <row r="98" customFormat="false" ht="15" hidden="false" customHeight="false" outlineLevel="0" collapsed="false">
      <c r="A98" s="12"/>
      <c r="B98" s="12"/>
      <c r="C98" s="12"/>
      <c r="D98" s="12"/>
      <c r="E98" s="5" t="str">
        <f aca="false">IF($C98="","",SUMIFS(MOVIMIENTOS!$I:$I,MOVIMIENTOS!$D:$D,"Aporte",MOVIMIENTOS!$E:$E,"Anual",MOVIMIENTOS!$J:$J,$C98,MOVIMIENTOS!$B:$B,"&gt;="&amp;DATE(2026,3,1),MOVIMIENTOS!$B:$B,"&lt;"&amp;DATE(2026,4,1)))</f>
        <v/>
      </c>
      <c r="F98" s="5" t="str">
        <f aca="false">IF($C98="","",SUMIFS(MOVIMIENTOS!$I:$I,MOVIMIENTOS!$D:$D,"Aporte",MOVIMIENTOS!$E:$E,"Anual",MOVIMIENTOS!$J:$J,$C98,MOVIMIENTOS!$B:$B,"&gt;="&amp;DATE(2026,4,1),MOVIMIENTOS!$B:$B,"&lt;"&amp;DATE(2026,5,1)))</f>
        <v/>
      </c>
      <c r="G98" s="5" t="str">
        <f aca="false">IF($C98="","",SUMIFS(MOVIMIENTOS!$I:$I,MOVIMIENTOS!$D:$D,"Aporte",MOVIMIENTOS!$E:$E,"Anual",MOVIMIENTOS!$J:$J,$C98,MOVIMIENTOS!$B:$B,"&gt;="&amp;DATE(2026,5,1),MOVIMIENTOS!$B:$B,"&lt;"&amp;DATE(2026,6,1)))</f>
        <v/>
      </c>
      <c r="H98" s="5" t="str">
        <f aca="false">IF($C98="","",SUMIFS(MOVIMIENTOS!$I:$I,MOVIMIENTOS!$D:$D,"Aporte",MOVIMIENTOS!$E:$E,"Anual",MOVIMIENTOS!$J:$J,$C98,MOVIMIENTOS!$B:$B,"&gt;="&amp;DATE(2026,6,1),MOVIMIENTOS!$B:$B,"&lt;"&amp;DATE(2026,7,1)))</f>
        <v/>
      </c>
      <c r="I98" s="5" t="str">
        <f aca="false">IF($C98="","",SUMIFS(MOVIMIENTOS!$I:$I,MOVIMIENTOS!$D:$D,"Aporte",MOVIMIENTOS!$E:$E,"Anual",MOVIMIENTOS!$J:$J,$C98,MOVIMIENTOS!$B:$B,"&gt;="&amp;DATE(2026,7,1),MOVIMIENTOS!$B:$B,"&lt;"&amp;DATE(2026,8,1)))</f>
        <v/>
      </c>
      <c r="J98" s="5" t="str">
        <f aca="false">IF($C98="","",SUMIFS(MOVIMIENTOS!$I:$I,MOVIMIENTOS!$D:$D,"Aporte",MOVIMIENTOS!$E:$E,"Anual",MOVIMIENTOS!$J:$J,$C98,MOVIMIENTOS!$B:$B,"&gt;="&amp;DATE(2026,8,1),MOVIMIENTOS!$B:$B,"&lt;"&amp;DATE(2026,9,1)))</f>
        <v/>
      </c>
      <c r="K98" s="5" t="str">
        <f aca="false">IF($C98="","",SUMIFS(MOVIMIENTOS!$I:$I,MOVIMIENTOS!$D:$D,"Aporte",MOVIMIENTOS!$E:$E,"Anual",MOVIMIENTOS!$J:$J,$C98,MOVIMIENTOS!$B:$B,"&gt;="&amp;DATE(2026,9,1),MOVIMIENTOS!$B:$B,"&lt;"&amp;DATE(2026,10,1)))</f>
        <v/>
      </c>
      <c r="L98" s="5" t="str">
        <f aca="false">IF($C98="","",SUMIFS(MOVIMIENTOS!$I:$I,MOVIMIENTOS!$D:$D,"Aporte",MOVIMIENTOS!$E:$E,"Anual",MOVIMIENTOS!$J:$J,$C98,MOVIMIENTOS!$B:$B,"&gt;="&amp;DATE(2026,10,1),MOVIMIENTOS!$B:$B,"&lt;"&amp;DATE(2026,11,1)))</f>
        <v/>
      </c>
      <c r="M98" s="5" t="str">
        <f aca="false">IF($C98="","",SUMIFS(MOVIMIENTOS!$I:$I,MOVIMIENTOS!$D:$D,"Aporte",MOVIMIENTOS!$E:$E,"Anual",MOVIMIENTOS!$J:$J,$C98,MOVIMIENTOS!$B:$B,"&gt;="&amp;DATE(2026,11,1),MOVIMIENTOS!$B:$B,"&lt;"&amp;DATE(2026,12,1)))</f>
        <v/>
      </c>
      <c r="N98" s="5" t="str">
        <f aca="false">IF($C98="","",SUMIFS(MOVIMIENTOS!$I:$I,MOVIMIENTOS!$D:$D,"Aporte",MOVIMIENTOS!$E:$E,"Anual",MOVIMIENTOS!$J:$J,$C98,MOVIMIENTOS!$B:$B,"&gt;="&amp;DATE(2026,12,1),MOVIMIENTOS!$B:$B,"&lt;"&amp;DATE(2026,13,1)))</f>
        <v/>
      </c>
      <c r="O98" s="5" t="str">
        <f aca="false">IF($C98="","",SUM(E98:N98))</f>
        <v/>
      </c>
      <c r="P98" s="5" t="str">
        <f aca="false">IF($C98="","",SUMIFS(MOVIMIENTOS!$I:$I,MOVIMIENTOS!$D:$D,"Aporte",MOVIMIENTOS!$E:$E,"Extraordinaria",MOVIMIENTOS!$F:$F,P$4,MOVIMIENTOS!$J:$J,$C98))</f>
        <v/>
      </c>
      <c r="Q98" s="5" t="str">
        <f aca="false">IF($C98="","",SUMIFS(MOVIMIENTOS!$I:$I,MOVIMIENTOS!$D:$D,"Aporte",MOVIMIENTOS!$E:$E,"Extraordinaria",MOVIMIENTOS!$F:$F,Q$4,MOVIMIENTOS!$J:$J,$C98))</f>
        <v/>
      </c>
      <c r="R98" s="5" t="str">
        <f aca="false">IF($C98="","",SUMIFS(MOVIMIENTOS!$I:$I,MOVIMIENTOS!$D:$D,"Aporte",MOVIMIENTOS!$E:$E,"Extraordinaria",MOVIMIENTOS!$F:$F,R$4,MOVIMIENTOS!$J:$J,$C98))</f>
        <v/>
      </c>
      <c r="S98" s="5" t="str">
        <f aca="false">IF($C98="","",SUMIFS(MOVIMIENTOS!$I:$I,MOVIMIENTOS!$D:$D,"Aporte",MOVIMIENTOS!$E:$E,"Extraordinaria",MOVIMIENTOS!$F:$F,S$4,MOVIMIENTOS!$J:$J,$C98))</f>
        <v/>
      </c>
      <c r="T98" s="5" t="str">
        <f aca="false">IF($C98="","",SUMIFS(MOVIMIENTOS!$I:$I,MOVIMIENTOS!$D:$D,"Aporte",MOVIMIENTOS!$E:$E,"Extraordinaria",MOVIMIENTOS!$F:$F,T$4,MOVIMIENTOS!$J:$J,$C98))</f>
        <v/>
      </c>
      <c r="U98" s="5" t="str">
        <f aca="false">IF($C98="","",SUMIFS(MOVIMIENTOS!$I:$I,MOVIMIENTOS!$D:$D,"Aporte",MOVIMIENTOS!$E:$E,"Extraordinaria",MOVIMIENTOS!$F:$F,U$4,MOVIMIENTOS!$J:$J,$C98))</f>
        <v/>
      </c>
      <c r="V98" s="5" t="str">
        <f aca="false">IF($C98="","",SUMIFS(MOVIMIENTOS!$I:$I,MOVIMIENTOS!$D:$D,"Aporte",MOVIMIENTOS!$E:$E,"Extraordinaria",MOVIMIENTOS!$F:$F,V$4,MOVIMIENTOS!$J:$J,$C98))</f>
        <v/>
      </c>
      <c r="W98" s="5" t="str">
        <f aca="false">IF($C98="","",SUM(P98:V98))</f>
        <v/>
      </c>
      <c r="X98" s="5" t="str">
        <f aca="false">IF($C98="","",O98+W98)</f>
        <v/>
      </c>
      <c r="Y98" s="12"/>
    </row>
    <row r="99" customFormat="false" ht="15" hidden="false" customHeight="false" outlineLevel="0" collapsed="false">
      <c r="A99" s="12"/>
      <c r="B99" s="12"/>
      <c r="C99" s="12"/>
      <c r="D99" s="12"/>
      <c r="E99" s="5" t="str">
        <f aca="false">IF($C99="","",SUMIFS(MOVIMIENTOS!$I:$I,MOVIMIENTOS!$D:$D,"Aporte",MOVIMIENTOS!$E:$E,"Anual",MOVIMIENTOS!$J:$J,$C99,MOVIMIENTOS!$B:$B,"&gt;="&amp;DATE(2026,3,1),MOVIMIENTOS!$B:$B,"&lt;"&amp;DATE(2026,4,1)))</f>
        <v/>
      </c>
      <c r="F99" s="5" t="str">
        <f aca="false">IF($C99="","",SUMIFS(MOVIMIENTOS!$I:$I,MOVIMIENTOS!$D:$D,"Aporte",MOVIMIENTOS!$E:$E,"Anual",MOVIMIENTOS!$J:$J,$C99,MOVIMIENTOS!$B:$B,"&gt;="&amp;DATE(2026,4,1),MOVIMIENTOS!$B:$B,"&lt;"&amp;DATE(2026,5,1)))</f>
        <v/>
      </c>
      <c r="G99" s="5" t="str">
        <f aca="false">IF($C99="","",SUMIFS(MOVIMIENTOS!$I:$I,MOVIMIENTOS!$D:$D,"Aporte",MOVIMIENTOS!$E:$E,"Anual",MOVIMIENTOS!$J:$J,$C99,MOVIMIENTOS!$B:$B,"&gt;="&amp;DATE(2026,5,1),MOVIMIENTOS!$B:$B,"&lt;"&amp;DATE(2026,6,1)))</f>
        <v/>
      </c>
      <c r="H99" s="5" t="str">
        <f aca="false">IF($C99="","",SUMIFS(MOVIMIENTOS!$I:$I,MOVIMIENTOS!$D:$D,"Aporte",MOVIMIENTOS!$E:$E,"Anual",MOVIMIENTOS!$J:$J,$C99,MOVIMIENTOS!$B:$B,"&gt;="&amp;DATE(2026,6,1),MOVIMIENTOS!$B:$B,"&lt;"&amp;DATE(2026,7,1)))</f>
        <v/>
      </c>
      <c r="I99" s="5" t="str">
        <f aca="false">IF($C99="","",SUMIFS(MOVIMIENTOS!$I:$I,MOVIMIENTOS!$D:$D,"Aporte",MOVIMIENTOS!$E:$E,"Anual",MOVIMIENTOS!$J:$J,$C99,MOVIMIENTOS!$B:$B,"&gt;="&amp;DATE(2026,7,1),MOVIMIENTOS!$B:$B,"&lt;"&amp;DATE(2026,8,1)))</f>
        <v/>
      </c>
      <c r="J99" s="5" t="str">
        <f aca="false">IF($C99="","",SUMIFS(MOVIMIENTOS!$I:$I,MOVIMIENTOS!$D:$D,"Aporte",MOVIMIENTOS!$E:$E,"Anual",MOVIMIENTOS!$J:$J,$C99,MOVIMIENTOS!$B:$B,"&gt;="&amp;DATE(2026,8,1),MOVIMIENTOS!$B:$B,"&lt;"&amp;DATE(2026,9,1)))</f>
        <v/>
      </c>
      <c r="K99" s="5" t="str">
        <f aca="false">IF($C99="","",SUMIFS(MOVIMIENTOS!$I:$I,MOVIMIENTOS!$D:$D,"Aporte",MOVIMIENTOS!$E:$E,"Anual",MOVIMIENTOS!$J:$J,$C99,MOVIMIENTOS!$B:$B,"&gt;="&amp;DATE(2026,9,1),MOVIMIENTOS!$B:$B,"&lt;"&amp;DATE(2026,10,1)))</f>
        <v/>
      </c>
      <c r="L99" s="5" t="str">
        <f aca="false">IF($C99="","",SUMIFS(MOVIMIENTOS!$I:$I,MOVIMIENTOS!$D:$D,"Aporte",MOVIMIENTOS!$E:$E,"Anual",MOVIMIENTOS!$J:$J,$C99,MOVIMIENTOS!$B:$B,"&gt;="&amp;DATE(2026,10,1),MOVIMIENTOS!$B:$B,"&lt;"&amp;DATE(2026,11,1)))</f>
        <v/>
      </c>
      <c r="M99" s="5" t="str">
        <f aca="false">IF($C99="","",SUMIFS(MOVIMIENTOS!$I:$I,MOVIMIENTOS!$D:$D,"Aporte",MOVIMIENTOS!$E:$E,"Anual",MOVIMIENTOS!$J:$J,$C99,MOVIMIENTOS!$B:$B,"&gt;="&amp;DATE(2026,11,1),MOVIMIENTOS!$B:$B,"&lt;"&amp;DATE(2026,12,1)))</f>
        <v/>
      </c>
      <c r="N99" s="5" t="str">
        <f aca="false">IF($C99="","",SUMIFS(MOVIMIENTOS!$I:$I,MOVIMIENTOS!$D:$D,"Aporte",MOVIMIENTOS!$E:$E,"Anual",MOVIMIENTOS!$J:$J,$C99,MOVIMIENTOS!$B:$B,"&gt;="&amp;DATE(2026,12,1),MOVIMIENTOS!$B:$B,"&lt;"&amp;DATE(2026,13,1)))</f>
        <v/>
      </c>
      <c r="O99" s="5" t="str">
        <f aca="false">IF($C99="","",SUM(E99:N99))</f>
        <v/>
      </c>
      <c r="P99" s="5" t="str">
        <f aca="false">IF($C99="","",SUMIFS(MOVIMIENTOS!$I:$I,MOVIMIENTOS!$D:$D,"Aporte",MOVIMIENTOS!$E:$E,"Extraordinaria",MOVIMIENTOS!$F:$F,P$4,MOVIMIENTOS!$J:$J,$C99))</f>
        <v/>
      </c>
      <c r="Q99" s="5" t="str">
        <f aca="false">IF($C99="","",SUMIFS(MOVIMIENTOS!$I:$I,MOVIMIENTOS!$D:$D,"Aporte",MOVIMIENTOS!$E:$E,"Extraordinaria",MOVIMIENTOS!$F:$F,Q$4,MOVIMIENTOS!$J:$J,$C99))</f>
        <v/>
      </c>
      <c r="R99" s="5" t="str">
        <f aca="false">IF($C99="","",SUMIFS(MOVIMIENTOS!$I:$I,MOVIMIENTOS!$D:$D,"Aporte",MOVIMIENTOS!$E:$E,"Extraordinaria",MOVIMIENTOS!$F:$F,R$4,MOVIMIENTOS!$J:$J,$C99))</f>
        <v/>
      </c>
      <c r="S99" s="5" t="str">
        <f aca="false">IF($C99="","",SUMIFS(MOVIMIENTOS!$I:$I,MOVIMIENTOS!$D:$D,"Aporte",MOVIMIENTOS!$E:$E,"Extraordinaria",MOVIMIENTOS!$F:$F,S$4,MOVIMIENTOS!$J:$J,$C99))</f>
        <v/>
      </c>
      <c r="T99" s="5" t="str">
        <f aca="false">IF($C99="","",SUMIFS(MOVIMIENTOS!$I:$I,MOVIMIENTOS!$D:$D,"Aporte",MOVIMIENTOS!$E:$E,"Extraordinaria",MOVIMIENTOS!$F:$F,T$4,MOVIMIENTOS!$J:$J,$C99))</f>
        <v/>
      </c>
      <c r="U99" s="5" t="str">
        <f aca="false">IF($C99="","",SUMIFS(MOVIMIENTOS!$I:$I,MOVIMIENTOS!$D:$D,"Aporte",MOVIMIENTOS!$E:$E,"Extraordinaria",MOVIMIENTOS!$F:$F,U$4,MOVIMIENTOS!$J:$J,$C99))</f>
        <v/>
      </c>
      <c r="V99" s="5" t="str">
        <f aca="false">IF($C99="","",SUMIFS(MOVIMIENTOS!$I:$I,MOVIMIENTOS!$D:$D,"Aporte",MOVIMIENTOS!$E:$E,"Extraordinaria",MOVIMIENTOS!$F:$F,V$4,MOVIMIENTOS!$J:$J,$C99))</f>
        <v/>
      </c>
      <c r="W99" s="5" t="str">
        <f aca="false">IF($C99="","",SUM(P99:V99))</f>
        <v/>
      </c>
      <c r="X99" s="5" t="str">
        <f aca="false">IF($C99="","",O99+W99)</f>
        <v/>
      </c>
      <c r="Y99" s="12"/>
    </row>
    <row r="100" customFormat="false" ht="15" hidden="false" customHeight="false" outlineLevel="0" collapsed="false">
      <c r="A100" s="12"/>
      <c r="B100" s="12"/>
      <c r="C100" s="12"/>
      <c r="D100" s="12"/>
      <c r="E100" s="5" t="str">
        <f aca="false">IF($C100="","",SUMIFS(MOVIMIENTOS!$I:$I,MOVIMIENTOS!$D:$D,"Aporte",MOVIMIENTOS!$E:$E,"Anual",MOVIMIENTOS!$J:$J,$C100,MOVIMIENTOS!$B:$B,"&gt;="&amp;DATE(2026,3,1),MOVIMIENTOS!$B:$B,"&lt;"&amp;DATE(2026,4,1)))</f>
        <v/>
      </c>
      <c r="F100" s="5" t="str">
        <f aca="false">IF($C100="","",SUMIFS(MOVIMIENTOS!$I:$I,MOVIMIENTOS!$D:$D,"Aporte",MOVIMIENTOS!$E:$E,"Anual",MOVIMIENTOS!$J:$J,$C100,MOVIMIENTOS!$B:$B,"&gt;="&amp;DATE(2026,4,1),MOVIMIENTOS!$B:$B,"&lt;"&amp;DATE(2026,5,1)))</f>
        <v/>
      </c>
      <c r="G100" s="5" t="str">
        <f aca="false">IF($C100="","",SUMIFS(MOVIMIENTOS!$I:$I,MOVIMIENTOS!$D:$D,"Aporte",MOVIMIENTOS!$E:$E,"Anual",MOVIMIENTOS!$J:$J,$C100,MOVIMIENTOS!$B:$B,"&gt;="&amp;DATE(2026,5,1),MOVIMIENTOS!$B:$B,"&lt;"&amp;DATE(2026,6,1)))</f>
        <v/>
      </c>
      <c r="H100" s="5" t="str">
        <f aca="false">IF($C100="","",SUMIFS(MOVIMIENTOS!$I:$I,MOVIMIENTOS!$D:$D,"Aporte",MOVIMIENTOS!$E:$E,"Anual",MOVIMIENTOS!$J:$J,$C100,MOVIMIENTOS!$B:$B,"&gt;="&amp;DATE(2026,6,1),MOVIMIENTOS!$B:$B,"&lt;"&amp;DATE(2026,7,1)))</f>
        <v/>
      </c>
      <c r="I100" s="5" t="str">
        <f aca="false">IF($C100="","",SUMIFS(MOVIMIENTOS!$I:$I,MOVIMIENTOS!$D:$D,"Aporte",MOVIMIENTOS!$E:$E,"Anual",MOVIMIENTOS!$J:$J,$C100,MOVIMIENTOS!$B:$B,"&gt;="&amp;DATE(2026,7,1),MOVIMIENTOS!$B:$B,"&lt;"&amp;DATE(2026,8,1)))</f>
        <v/>
      </c>
      <c r="J100" s="5" t="str">
        <f aca="false">IF($C100="","",SUMIFS(MOVIMIENTOS!$I:$I,MOVIMIENTOS!$D:$D,"Aporte",MOVIMIENTOS!$E:$E,"Anual",MOVIMIENTOS!$J:$J,$C100,MOVIMIENTOS!$B:$B,"&gt;="&amp;DATE(2026,8,1),MOVIMIENTOS!$B:$B,"&lt;"&amp;DATE(2026,9,1)))</f>
        <v/>
      </c>
      <c r="K100" s="5" t="str">
        <f aca="false">IF($C100="","",SUMIFS(MOVIMIENTOS!$I:$I,MOVIMIENTOS!$D:$D,"Aporte",MOVIMIENTOS!$E:$E,"Anual",MOVIMIENTOS!$J:$J,$C100,MOVIMIENTOS!$B:$B,"&gt;="&amp;DATE(2026,9,1),MOVIMIENTOS!$B:$B,"&lt;"&amp;DATE(2026,10,1)))</f>
        <v/>
      </c>
      <c r="L100" s="5" t="str">
        <f aca="false">IF($C100="","",SUMIFS(MOVIMIENTOS!$I:$I,MOVIMIENTOS!$D:$D,"Aporte",MOVIMIENTOS!$E:$E,"Anual",MOVIMIENTOS!$J:$J,$C100,MOVIMIENTOS!$B:$B,"&gt;="&amp;DATE(2026,10,1),MOVIMIENTOS!$B:$B,"&lt;"&amp;DATE(2026,11,1)))</f>
        <v/>
      </c>
      <c r="M100" s="5" t="str">
        <f aca="false">IF($C100="","",SUMIFS(MOVIMIENTOS!$I:$I,MOVIMIENTOS!$D:$D,"Aporte",MOVIMIENTOS!$E:$E,"Anual",MOVIMIENTOS!$J:$J,$C100,MOVIMIENTOS!$B:$B,"&gt;="&amp;DATE(2026,11,1),MOVIMIENTOS!$B:$B,"&lt;"&amp;DATE(2026,12,1)))</f>
        <v/>
      </c>
      <c r="N100" s="5" t="str">
        <f aca="false">IF($C100="","",SUMIFS(MOVIMIENTOS!$I:$I,MOVIMIENTOS!$D:$D,"Aporte",MOVIMIENTOS!$E:$E,"Anual",MOVIMIENTOS!$J:$J,$C100,MOVIMIENTOS!$B:$B,"&gt;="&amp;DATE(2026,12,1),MOVIMIENTOS!$B:$B,"&lt;"&amp;DATE(2026,13,1)))</f>
        <v/>
      </c>
      <c r="O100" s="5" t="str">
        <f aca="false">IF($C100="","",SUM(E100:N100))</f>
        <v/>
      </c>
      <c r="P100" s="5" t="str">
        <f aca="false">IF($C100="","",SUMIFS(MOVIMIENTOS!$I:$I,MOVIMIENTOS!$D:$D,"Aporte",MOVIMIENTOS!$E:$E,"Extraordinaria",MOVIMIENTOS!$F:$F,P$4,MOVIMIENTOS!$J:$J,$C100))</f>
        <v/>
      </c>
      <c r="Q100" s="5" t="str">
        <f aca="false">IF($C100="","",SUMIFS(MOVIMIENTOS!$I:$I,MOVIMIENTOS!$D:$D,"Aporte",MOVIMIENTOS!$E:$E,"Extraordinaria",MOVIMIENTOS!$F:$F,Q$4,MOVIMIENTOS!$J:$J,$C100))</f>
        <v/>
      </c>
      <c r="R100" s="5" t="str">
        <f aca="false">IF($C100="","",SUMIFS(MOVIMIENTOS!$I:$I,MOVIMIENTOS!$D:$D,"Aporte",MOVIMIENTOS!$E:$E,"Extraordinaria",MOVIMIENTOS!$F:$F,R$4,MOVIMIENTOS!$J:$J,$C100))</f>
        <v/>
      </c>
      <c r="S100" s="5" t="str">
        <f aca="false">IF($C100="","",SUMIFS(MOVIMIENTOS!$I:$I,MOVIMIENTOS!$D:$D,"Aporte",MOVIMIENTOS!$E:$E,"Extraordinaria",MOVIMIENTOS!$F:$F,S$4,MOVIMIENTOS!$J:$J,$C100))</f>
        <v/>
      </c>
      <c r="T100" s="5" t="str">
        <f aca="false">IF($C100="","",SUMIFS(MOVIMIENTOS!$I:$I,MOVIMIENTOS!$D:$D,"Aporte",MOVIMIENTOS!$E:$E,"Extraordinaria",MOVIMIENTOS!$F:$F,T$4,MOVIMIENTOS!$J:$J,$C100))</f>
        <v/>
      </c>
      <c r="U100" s="5" t="str">
        <f aca="false">IF($C100="","",SUMIFS(MOVIMIENTOS!$I:$I,MOVIMIENTOS!$D:$D,"Aporte",MOVIMIENTOS!$E:$E,"Extraordinaria",MOVIMIENTOS!$F:$F,U$4,MOVIMIENTOS!$J:$J,$C100))</f>
        <v/>
      </c>
      <c r="V100" s="5" t="str">
        <f aca="false">IF($C100="","",SUMIFS(MOVIMIENTOS!$I:$I,MOVIMIENTOS!$D:$D,"Aporte",MOVIMIENTOS!$E:$E,"Extraordinaria",MOVIMIENTOS!$F:$F,V$4,MOVIMIENTOS!$J:$J,$C100))</f>
        <v/>
      </c>
      <c r="W100" s="5" t="str">
        <f aca="false">IF($C100="","",SUM(P100:V100))</f>
        <v/>
      </c>
      <c r="X100" s="5" t="str">
        <f aca="false">IF($C100="","",O100+W100)</f>
        <v/>
      </c>
      <c r="Y100" s="12"/>
    </row>
    <row r="101" customFormat="false" ht="15" hidden="false" customHeight="false" outlineLevel="0" collapsed="false">
      <c r="A101" s="12"/>
      <c r="B101" s="12"/>
      <c r="C101" s="12"/>
      <c r="D101" s="12"/>
      <c r="E101" s="5" t="str">
        <f aca="false">IF($C101="","",SUMIFS(MOVIMIENTOS!$I:$I,MOVIMIENTOS!$D:$D,"Aporte",MOVIMIENTOS!$E:$E,"Anual",MOVIMIENTOS!$J:$J,$C101,MOVIMIENTOS!$B:$B,"&gt;="&amp;DATE(2026,3,1),MOVIMIENTOS!$B:$B,"&lt;"&amp;DATE(2026,4,1)))</f>
        <v/>
      </c>
      <c r="F101" s="5" t="str">
        <f aca="false">IF($C101="","",SUMIFS(MOVIMIENTOS!$I:$I,MOVIMIENTOS!$D:$D,"Aporte",MOVIMIENTOS!$E:$E,"Anual",MOVIMIENTOS!$J:$J,$C101,MOVIMIENTOS!$B:$B,"&gt;="&amp;DATE(2026,4,1),MOVIMIENTOS!$B:$B,"&lt;"&amp;DATE(2026,5,1)))</f>
        <v/>
      </c>
      <c r="G101" s="5" t="str">
        <f aca="false">IF($C101="","",SUMIFS(MOVIMIENTOS!$I:$I,MOVIMIENTOS!$D:$D,"Aporte",MOVIMIENTOS!$E:$E,"Anual",MOVIMIENTOS!$J:$J,$C101,MOVIMIENTOS!$B:$B,"&gt;="&amp;DATE(2026,5,1),MOVIMIENTOS!$B:$B,"&lt;"&amp;DATE(2026,6,1)))</f>
        <v/>
      </c>
      <c r="H101" s="5" t="str">
        <f aca="false">IF($C101="","",SUMIFS(MOVIMIENTOS!$I:$I,MOVIMIENTOS!$D:$D,"Aporte",MOVIMIENTOS!$E:$E,"Anual",MOVIMIENTOS!$J:$J,$C101,MOVIMIENTOS!$B:$B,"&gt;="&amp;DATE(2026,6,1),MOVIMIENTOS!$B:$B,"&lt;"&amp;DATE(2026,7,1)))</f>
        <v/>
      </c>
      <c r="I101" s="5" t="str">
        <f aca="false">IF($C101="","",SUMIFS(MOVIMIENTOS!$I:$I,MOVIMIENTOS!$D:$D,"Aporte",MOVIMIENTOS!$E:$E,"Anual",MOVIMIENTOS!$J:$J,$C101,MOVIMIENTOS!$B:$B,"&gt;="&amp;DATE(2026,7,1),MOVIMIENTOS!$B:$B,"&lt;"&amp;DATE(2026,8,1)))</f>
        <v/>
      </c>
      <c r="J101" s="5" t="str">
        <f aca="false">IF($C101="","",SUMIFS(MOVIMIENTOS!$I:$I,MOVIMIENTOS!$D:$D,"Aporte",MOVIMIENTOS!$E:$E,"Anual",MOVIMIENTOS!$J:$J,$C101,MOVIMIENTOS!$B:$B,"&gt;="&amp;DATE(2026,8,1),MOVIMIENTOS!$B:$B,"&lt;"&amp;DATE(2026,9,1)))</f>
        <v/>
      </c>
      <c r="K101" s="5" t="str">
        <f aca="false">IF($C101="","",SUMIFS(MOVIMIENTOS!$I:$I,MOVIMIENTOS!$D:$D,"Aporte",MOVIMIENTOS!$E:$E,"Anual",MOVIMIENTOS!$J:$J,$C101,MOVIMIENTOS!$B:$B,"&gt;="&amp;DATE(2026,9,1),MOVIMIENTOS!$B:$B,"&lt;"&amp;DATE(2026,10,1)))</f>
        <v/>
      </c>
      <c r="L101" s="5" t="str">
        <f aca="false">IF($C101="","",SUMIFS(MOVIMIENTOS!$I:$I,MOVIMIENTOS!$D:$D,"Aporte",MOVIMIENTOS!$E:$E,"Anual",MOVIMIENTOS!$J:$J,$C101,MOVIMIENTOS!$B:$B,"&gt;="&amp;DATE(2026,10,1),MOVIMIENTOS!$B:$B,"&lt;"&amp;DATE(2026,11,1)))</f>
        <v/>
      </c>
      <c r="M101" s="5" t="str">
        <f aca="false">IF($C101="","",SUMIFS(MOVIMIENTOS!$I:$I,MOVIMIENTOS!$D:$D,"Aporte",MOVIMIENTOS!$E:$E,"Anual",MOVIMIENTOS!$J:$J,$C101,MOVIMIENTOS!$B:$B,"&gt;="&amp;DATE(2026,11,1),MOVIMIENTOS!$B:$B,"&lt;"&amp;DATE(2026,12,1)))</f>
        <v/>
      </c>
      <c r="N101" s="5" t="str">
        <f aca="false">IF($C101="","",SUMIFS(MOVIMIENTOS!$I:$I,MOVIMIENTOS!$D:$D,"Aporte",MOVIMIENTOS!$E:$E,"Anual",MOVIMIENTOS!$J:$J,$C101,MOVIMIENTOS!$B:$B,"&gt;="&amp;DATE(2026,12,1),MOVIMIENTOS!$B:$B,"&lt;"&amp;DATE(2026,13,1)))</f>
        <v/>
      </c>
      <c r="O101" s="5" t="str">
        <f aca="false">IF($C101="","",SUM(E101:N101))</f>
        <v/>
      </c>
      <c r="P101" s="5" t="str">
        <f aca="false">IF($C101="","",SUMIFS(MOVIMIENTOS!$I:$I,MOVIMIENTOS!$D:$D,"Aporte",MOVIMIENTOS!$E:$E,"Extraordinaria",MOVIMIENTOS!$F:$F,P$4,MOVIMIENTOS!$J:$J,$C101))</f>
        <v/>
      </c>
      <c r="Q101" s="5" t="str">
        <f aca="false">IF($C101="","",SUMIFS(MOVIMIENTOS!$I:$I,MOVIMIENTOS!$D:$D,"Aporte",MOVIMIENTOS!$E:$E,"Extraordinaria",MOVIMIENTOS!$F:$F,Q$4,MOVIMIENTOS!$J:$J,$C101))</f>
        <v/>
      </c>
      <c r="R101" s="5" t="str">
        <f aca="false">IF($C101="","",SUMIFS(MOVIMIENTOS!$I:$I,MOVIMIENTOS!$D:$D,"Aporte",MOVIMIENTOS!$E:$E,"Extraordinaria",MOVIMIENTOS!$F:$F,R$4,MOVIMIENTOS!$J:$J,$C101))</f>
        <v/>
      </c>
      <c r="S101" s="5" t="str">
        <f aca="false">IF($C101="","",SUMIFS(MOVIMIENTOS!$I:$I,MOVIMIENTOS!$D:$D,"Aporte",MOVIMIENTOS!$E:$E,"Extraordinaria",MOVIMIENTOS!$F:$F,S$4,MOVIMIENTOS!$J:$J,$C101))</f>
        <v/>
      </c>
      <c r="T101" s="5" t="str">
        <f aca="false">IF($C101="","",SUMIFS(MOVIMIENTOS!$I:$I,MOVIMIENTOS!$D:$D,"Aporte",MOVIMIENTOS!$E:$E,"Extraordinaria",MOVIMIENTOS!$F:$F,T$4,MOVIMIENTOS!$J:$J,$C101))</f>
        <v/>
      </c>
      <c r="U101" s="5" t="str">
        <f aca="false">IF($C101="","",SUMIFS(MOVIMIENTOS!$I:$I,MOVIMIENTOS!$D:$D,"Aporte",MOVIMIENTOS!$E:$E,"Extraordinaria",MOVIMIENTOS!$F:$F,U$4,MOVIMIENTOS!$J:$J,$C101))</f>
        <v/>
      </c>
      <c r="V101" s="5" t="str">
        <f aca="false">IF($C101="","",SUMIFS(MOVIMIENTOS!$I:$I,MOVIMIENTOS!$D:$D,"Aporte",MOVIMIENTOS!$E:$E,"Extraordinaria",MOVIMIENTOS!$F:$F,V$4,MOVIMIENTOS!$J:$J,$C101))</f>
        <v/>
      </c>
      <c r="W101" s="5" t="str">
        <f aca="false">IF($C101="","",SUM(P101:V101))</f>
        <v/>
      </c>
      <c r="X101" s="5" t="str">
        <f aca="false">IF($C101="","",O101+W101)</f>
        <v/>
      </c>
      <c r="Y101" s="12"/>
    </row>
    <row r="102" customFormat="false" ht="15" hidden="false" customHeight="false" outlineLevel="0" collapsed="false">
      <c r="A102" s="12"/>
      <c r="B102" s="12"/>
      <c r="C102" s="12"/>
      <c r="D102" s="12"/>
      <c r="E102" s="5" t="str">
        <f aca="false">IF($C102="","",SUMIFS(MOVIMIENTOS!$I:$I,MOVIMIENTOS!$D:$D,"Aporte",MOVIMIENTOS!$E:$E,"Anual",MOVIMIENTOS!$J:$J,$C102,MOVIMIENTOS!$B:$B,"&gt;="&amp;DATE(2026,3,1),MOVIMIENTOS!$B:$B,"&lt;"&amp;DATE(2026,4,1)))</f>
        <v/>
      </c>
      <c r="F102" s="5" t="str">
        <f aca="false">IF($C102="","",SUMIFS(MOVIMIENTOS!$I:$I,MOVIMIENTOS!$D:$D,"Aporte",MOVIMIENTOS!$E:$E,"Anual",MOVIMIENTOS!$J:$J,$C102,MOVIMIENTOS!$B:$B,"&gt;="&amp;DATE(2026,4,1),MOVIMIENTOS!$B:$B,"&lt;"&amp;DATE(2026,5,1)))</f>
        <v/>
      </c>
      <c r="G102" s="5" t="str">
        <f aca="false">IF($C102="","",SUMIFS(MOVIMIENTOS!$I:$I,MOVIMIENTOS!$D:$D,"Aporte",MOVIMIENTOS!$E:$E,"Anual",MOVIMIENTOS!$J:$J,$C102,MOVIMIENTOS!$B:$B,"&gt;="&amp;DATE(2026,5,1),MOVIMIENTOS!$B:$B,"&lt;"&amp;DATE(2026,6,1)))</f>
        <v/>
      </c>
      <c r="H102" s="5" t="str">
        <f aca="false">IF($C102="","",SUMIFS(MOVIMIENTOS!$I:$I,MOVIMIENTOS!$D:$D,"Aporte",MOVIMIENTOS!$E:$E,"Anual",MOVIMIENTOS!$J:$J,$C102,MOVIMIENTOS!$B:$B,"&gt;="&amp;DATE(2026,6,1),MOVIMIENTOS!$B:$B,"&lt;"&amp;DATE(2026,7,1)))</f>
        <v/>
      </c>
      <c r="I102" s="5" t="str">
        <f aca="false">IF($C102="","",SUMIFS(MOVIMIENTOS!$I:$I,MOVIMIENTOS!$D:$D,"Aporte",MOVIMIENTOS!$E:$E,"Anual",MOVIMIENTOS!$J:$J,$C102,MOVIMIENTOS!$B:$B,"&gt;="&amp;DATE(2026,7,1),MOVIMIENTOS!$B:$B,"&lt;"&amp;DATE(2026,8,1)))</f>
        <v/>
      </c>
      <c r="J102" s="5" t="str">
        <f aca="false">IF($C102="","",SUMIFS(MOVIMIENTOS!$I:$I,MOVIMIENTOS!$D:$D,"Aporte",MOVIMIENTOS!$E:$E,"Anual",MOVIMIENTOS!$J:$J,$C102,MOVIMIENTOS!$B:$B,"&gt;="&amp;DATE(2026,8,1),MOVIMIENTOS!$B:$B,"&lt;"&amp;DATE(2026,9,1)))</f>
        <v/>
      </c>
      <c r="K102" s="5" t="str">
        <f aca="false">IF($C102="","",SUMIFS(MOVIMIENTOS!$I:$I,MOVIMIENTOS!$D:$D,"Aporte",MOVIMIENTOS!$E:$E,"Anual",MOVIMIENTOS!$J:$J,$C102,MOVIMIENTOS!$B:$B,"&gt;="&amp;DATE(2026,9,1),MOVIMIENTOS!$B:$B,"&lt;"&amp;DATE(2026,10,1)))</f>
        <v/>
      </c>
      <c r="L102" s="5" t="str">
        <f aca="false">IF($C102="","",SUMIFS(MOVIMIENTOS!$I:$I,MOVIMIENTOS!$D:$D,"Aporte",MOVIMIENTOS!$E:$E,"Anual",MOVIMIENTOS!$J:$J,$C102,MOVIMIENTOS!$B:$B,"&gt;="&amp;DATE(2026,10,1),MOVIMIENTOS!$B:$B,"&lt;"&amp;DATE(2026,11,1)))</f>
        <v/>
      </c>
      <c r="M102" s="5" t="str">
        <f aca="false">IF($C102="","",SUMIFS(MOVIMIENTOS!$I:$I,MOVIMIENTOS!$D:$D,"Aporte",MOVIMIENTOS!$E:$E,"Anual",MOVIMIENTOS!$J:$J,$C102,MOVIMIENTOS!$B:$B,"&gt;="&amp;DATE(2026,11,1),MOVIMIENTOS!$B:$B,"&lt;"&amp;DATE(2026,12,1)))</f>
        <v/>
      </c>
      <c r="N102" s="5" t="str">
        <f aca="false">IF($C102="","",SUMIFS(MOVIMIENTOS!$I:$I,MOVIMIENTOS!$D:$D,"Aporte",MOVIMIENTOS!$E:$E,"Anual",MOVIMIENTOS!$J:$J,$C102,MOVIMIENTOS!$B:$B,"&gt;="&amp;DATE(2026,12,1),MOVIMIENTOS!$B:$B,"&lt;"&amp;DATE(2026,13,1)))</f>
        <v/>
      </c>
      <c r="O102" s="5" t="str">
        <f aca="false">IF($C102="","",SUM(E102:N102))</f>
        <v/>
      </c>
      <c r="P102" s="5" t="str">
        <f aca="false">IF($C102="","",SUMIFS(MOVIMIENTOS!$I:$I,MOVIMIENTOS!$D:$D,"Aporte",MOVIMIENTOS!$E:$E,"Extraordinaria",MOVIMIENTOS!$F:$F,P$4,MOVIMIENTOS!$J:$J,$C102))</f>
        <v/>
      </c>
      <c r="Q102" s="5" t="str">
        <f aca="false">IF($C102="","",SUMIFS(MOVIMIENTOS!$I:$I,MOVIMIENTOS!$D:$D,"Aporte",MOVIMIENTOS!$E:$E,"Extraordinaria",MOVIMIENTOS!$F:$F,Q$4,MOVIMIENTOS!$J:$J,$C102))</f>
        <v/>
      </c>
      <c r="R102" s="5" t="str">
        <f aca="false">IF($C102="","",SUMIFS(MOVIMIENTOS!$I:$I,MOVIMIENTOS!$D:$D,"Aporte",MOVIMIENTOS!$E:$E,"Extraordinaria",MOVIMIENTOS!$F:$F,R$4,MOVIMIENTOS!$J:$J,$C102))</f>
        <v/>
      </c>
      <c r="S102" s="5" t="str">
        <f aca="false">IF($C102="","",SUMIFS(MOVIMIENTOS!$I:$I,MOVIMIENTOS!$D:$D,"Aporte",MOVIMIENTOS!$E:$E,"Extraordinaria",MOVIMIENTOS!$F:$F,S$4,MOVIMIENTOS!$J:$J,$C102))</f>
        <v/>
      </c>
      <c r="T102" s="5" t="str">
        <f aca="false">IF($C102="","",SUMIFS(MOVIMIENTOS!$I:$I,MOVIMIENTOS!$D:$D,"Aporte",MOVIMIENTOS!$E:$E,"Extraordinaria",MOVIMIENTOS!$F:$F,T$4,MOVIMIENTOS!$J:$J,$C102))</f>
        <v/>
      </c>
      <c r="U102" s="5" t="str">
        <f aca="false">IF($C102="","",SUMIFS(MOVIMIENTOS!$I:$I,MOVIMIENTOS!$D:$D,"Aporte",MOVIMIENTOS!$E:$E,"Extraordinaria",MOVIMIENTOS!$F:$F,U$4,MOVIMIENTOS!$J:$J,$C102))</f>
        <v/>
      </c>
      <c r="V102" s="5" t="str">
        <f aca="false">IF($C102="","",SUMIFS(MOVIMIENTOS!$I:$I,MOVIMIENTOS!$D:$D,"Aporte",MOVIMIENTOS!$E:$E,"Extraordinaria",MOVIMIENTOS!$F:$F,V$4,MOVIMIENTOS!$J:$J,$C102))</f>
        <v/>
      </c>
      <c r="W102" s="5" t="str">
        <f aca="false">IF($C102="","",SUM(P102:V102))</f>
        <v/>
      </c>
      <c r="X102" s="5" t="str">
        <f aca="false">IF($C102="","",O102+W102)</f>
        <v/>
      </c>
      <c r="Y102" s="12"/>
    </row>
    <row r="103" customFormat="false" ht="15" hidden="false" customHeight="false" outlineLevel="0" collapsed="false">
      <c r="A103" s="12"/>
      <c r="B103" s="12"/>
      <c r="C103" s="12"/>
      <c r="D103" s="12"/>
      <c r="E103" s="5" t="str">
        <f aca="false">IF($C103="","",SUMIFS(MOVIMIENTOS!$I:$I,MOVIMIENTOS!$D:$D,"Aporte",MOVIMIENTOS!$E:$E,"Anual",MOVIMIENTOS!$J:$J,$C103,MOVIMIENTOS!$B:$B,"&gt;="&amp;DATE(2026,3,1),MOVIMIENTOS!$B:$B,"&lt;"&amp;DATE(2026,4,1)))</f>
        <v/>
      </c>
      <c r="F103" s="5" t="str">
        <f aca="false">IF($C103="","",SUMIFS(MOVIMIENTOS!$I:$I,MOVIMIENTOS!$D:$D,"Aporte",MOVIMIENTOS!$E:$E,"Anual",MOVIMIENTOS!$J:$J,$C103,MOVIMIENTOS!$B:$B,"&gt;="&amp;DATE(2026,4,1),MOVIMIENTOS!$B:$B,"&lt;"&amp;DATE(2026,5,1)))</f>
        <v/>
      </c>
      <c r="G103" s="5" t="str">
        <f aca="false">IF($C103="","",SUMIFS(MOVIMIENTOS!$I:$I,MOVIMIENTOS!$D:$D,"Aporte",MOVIMIENTOS!$E:$E,"Anual",MOVIMIENTOS!$J:$J,$C103,MOVIMIENTOS!$B:$B,"&gt;="&amp;DATE(2026,5,1),MOVIMIENTOS!$B:$B,"&lt;"&amp;DATE(2026,6,1)))</f>
        <v/>
      </c>
      <c r="H103" s="5" t="str">
        <f aca="false">IF($C103="","",SUMIFS(MOVIMIENTOS!$I:$I,MOVIMIENTOS!$D:$D,"Aporte",MOVIMIENTOS!$E:$E,"Anual",MOVIMIENTOS!$J:$J,$C103,MOVIMIENTOS!$B:$B,"&gt;="&amp;DATE(2026,6,1),MOVIMIENTOS!$B:$B,"&lt;"&amp;DATE(2026,7,1)))</f>
        <v/>
      </c>
      <c r="I103" s="5" t="str">
        <f aca="false">IF($C103="","",SUMIFS(MOVIMIENTOS!$I:$I,MOVIMIENTOS!$D:$D,"Aporte",MOVIMIENTOS!$E:$E,"Anual",MOVIMIENTOS!$J:$J,$C103,MOVIMIENTOS!$B:$B,"&gt;="&amp;DATE(2026,7,1),MOVIMIENTOS!$B:$B,"&lt;"&amp;DATE(2026,8,1)))</f>
        <v/>
      </c>
      <c r="J103" s="5" t="str">
        <f aca="false">IF($C103="","",SUMIFS(MOVIMIENTOS!$I:$I,MOVIMIENTOS!$D:$D,"Aporte",MOVIMIENTOS!$E:$E,"Anual",MOVIMIENTOS!$J:$J,$C103,MOVIMIENTOS!$B:$B,"&gt;="&amp;DATE(2026,8,1),MOVIMIENTOS!$B:$B,"&lt;"&amp;DATE(2026,9,1)))</f>
        <v/>
      </c>
      <c r="K103" s="5" t="str">
        <f aca="false">IF($C103="","",SUMIFS(MOVIMIENTOS!$I:$I,MOVIMIENTOS!$D:$D,"Aporte",MOVIMIENTOS!$E:$E,"Anual",MOVIMIENTOS!$J:$J,$C103,MOVIMIENTOS!$B:$B,"&gt;="&amp;DATE(2026,9,1),MOVIMIENTOS!$B:$B,"&lt;"&amp;DATE(2026,10,1)))</f>
        <v/>
      </c>
      <c r="L103" s="5" t="str">
        <f aca="false">IF($C103="","",SUMIFS(MOVIMIENTOS!$I:$I,MOVIMIENTOS!$D:$D,"Aporte",MOVIMIENTOS!$E:$E,"Anual",MOVIMIENTOS!$J:$J,$C103,MOVIMIENTOS!$B:$B,"&gt;="&amp;DATE(2026,10,1),MOVIMIENTOS!$B:$B,"&lt;"&amp;DATE(2026,11,1)))</f>
        <v/>
      </c>
      <c r="M103" s="5" t="str">
        <f aca="false">IF($C103="","",SUMIFS(MOVIMIENTOS!$I:$I,MOVIMIENTOS!$D:$D,"Aporte",MOVIMIENTOS!$E:$E,"Anual",MOVIMIENTOS!$J:$J,$C103,MOVIMIENTOS!$B:$B,"&gt;="&amp;DATE(2026,11,1),MOVIMIENTOS!$B:$B,"&lt;"&amp;DATE(2026,12,1)))</f>
        <v/>
      </c>
      <c r="N103" s="5" t="str">
        <f aca="false">IF($C103="","",SUMIFS(MOVIMIENTOS!$I:$I,MOVIMIENTOS!$D:$D,"Aporte",MOVIMIENTOS!$E:$E,"Anual",MOVIMIENTOS!$J:$J,$C103,MOVIMIENTOS!$B:$B,"&gt;="&amp;DATE(2026,12,1),MOVIMIENTOS!$B:$B,"&lt;"&amp;DATE(2026,13,1)))</f>
        <v/>
      </c>
      <c r="O103" s="5" t="str">
        <f aca="false">IF($C103="","",SUM(E103:N103))</f>
        <v/>
      </c>
      <c r="P103" s="5" t="str">
        <f aca="false">IF($C103="","",SUMIFS(MOVIMIENTOS!$I:$I,MOVIMIENTOS!$D:$D,"Aporte",MOVIMIENTOS!$E:$E,"Extraordinaria",MOVIMIENTOS!$F:$F,P$4,MOVIMIENTOS!$J:$J,$C103))</f>
        <v/>
      </c>
      <c r="Q103" s="5" t="str">
        <f aca="false">IF($C103="","",SUMIFS(MOVIMIENTOS!$I:$I,MOVIMIENTOS!$D:$D,"Aporte",MOVIMIENTOS!$E:$E,"Extraordinaria",MOVIMIENTOS!$F:$F,Q$4,MOVIMIENTOS!$J:$J,$C103))</f>
        <v/>
      </c>
      <c r="R103" s="5" t="str">
        <f aca="false">IF($C103="","",SUMIFS(MOVIMIENTOS!$I:$I,MOVIMIENTOS!$D:$D,"Aporte",MOVIMIENTOS!$E:$E,"Extraordinaria",MOVIMIENTOS!$F:$F,R$4,MOVIMIENTOS!$J:$J,$C103))</f>
        <v/>
      </c>
      <c r="S103" s="5" t="str">
        <f aca="false">IF($C103="","",SUMIFS(MOVIMIENTOS!$I:$I,MOVIMIENTOS!$D:$D,"Aporte",MOVIMIENTOS!$E:$E,"Extraordinaria",MOVIMIENTOS!$F:$F,S$4,MOVIMIENTOS!$J:$J,$C103))</f>
        <v/>
      </c>
      <c r="T103" s="5" t="str">
        <f aca="false">IF($C103="","",SUMIFS(MOVIMIENTOS!$I:$I,MOVIMIENTOS!$D:$D,"Aporte",MOVIMIENTOS!$E:$E,"Extraordinaria",MOVIMIENTOS!$F:$F,T$4,MOVIMIENTOS!$J:$J,$C103))</f>
        <v/>
      </c>
      <c r="U103" s="5" t="str">
        <f aca="false">IF($C103="","",SUMIFS(MOVIMIENTOS!$I:$I,MOVIMIENTOS!$D:$D,"Aporte",MOVIMIENTOS!$E:$E,"Extraordinaria",MOVIMIENTOS!$F:$F,U$4,MOVIMIENTOS!$J:$J,$C103))</f>
        <v/>
      </c>
      <c r="V103" s="5" t="str">
        <f aca="false">IF($C103="","",SUMIFS(MOVIMIENTOS!$I:$I,MOVIMIENTOS!$D:$D,"Aporte",MOVIMIENTOS!$E:$E,"Extraordinaria",MOVIMIENTOS!$F:$F,V$4,MOVIMIENTOS!$J:$J,$C103))</f>
        <v/>
      </c>
      <c r="W103" s="5" t="str">
        <f aca="false">IF($C103="","",SUM(P103:V103))</f>
        <v/>
      </c>
      <c r="X103" s="5" t="str">
        <f aca="false">IF($C103="","",O103+W103)</f>
        <v/>
      </c>
      <c r="Y103" s="12"/>
    </row>
    <row r="104" customFormat="false" ht="15" hidden="false" customHeight="false" outlineLevel="0" collapsed="false">
      <c r="A104" s="12"/>
      <c r="B104" s="12"/>
      <c r="C104" s="12"/>
      <c r="D104" s="12"/>
      <c r="E104" s="5" t="str">
        <f aca="false">IF($C104="","",SUMIFS(MOVIMIENTOS!$I:$I,MOVIMIENTOS!$D:$D,"Aporte",MOVIMIENTOS!$E:$E,"Anual",MOVIMIENTOS!$J:$J,$C104,MOVIMIENTOS!$B:$B,"&gt;="&amp;DATE(2026,3,1),MOVIMIENTOS!$B:$B,"&lt;"&amp;DATE(2026,4,1)))</f>
        <v/>
      </c>
      <c r="F104" s="5" t="str">
        <f aca="false">IF($C104="","",SUMIFS(MOVIMIENTOS!$I:$I,MOVIMIENTOS!$D:$D,"Aporte",MOVIMIENTOS!$E:$E,"Anual",MOVIMIENTOS!$J:$J,$C104,MOVIMIENTOS!$B:$B,"&gt;="&amp;DATE(2026,4,1),MOVIMIENTOS!$B:$B,"&lt;"&amp;DATE(2026,5,1)))</f>
        <v/>
      </c>
      <c r="G104" s="5" t="str">
        <f aca="false">IF($C104="","",SUMIFS(MOVIMIENTOS!$I:$I,MOVIMIENTOS!$D:$D,"Aporte",MOVIMIENTOS!$E:$E,"Anual",MOVIMIENTOS!$J:$J,$C104,MOVIMIENTOS!$B:$B,"&gt;="&amp;DATE(2026,5,1),MOVIMIENTOS!$B:$B,"&lt;"&amp;DATE(2026,6,1)))</f>
        <v/>
      </c>
      <c r="H104" s="5" t="str">
        <f aca="false">IF($C104="","",SUMIFS(MOVIMIENTOS!$I:$I,MOVIMIENTOS!$D:$D,"Aporte",MOVIMIENTOS!$E:$E,"Anual",MOVIMIENTOS!$J:$J,$C104,MOVIMIENTOS!$B:$B,"&gt;="&amp;DATE(2026,6,1),MOVIMIENTOS!$B:$B,"&lt;"&amp;DATE(2026,7,1)))</f>
        <v/>
      </c>
      <c r="I104" s="5" t="str">
        <f aca="false">IF($C104="","",SUMIFS(MOVIMIENTOS!$I:$I,MOVIMIENTOS!$D:$D,"Aporte",MOVIMIENTOS!$E:$E,"Anual",MOVIMIENTOS!$J:$J,$C104,MOVIMIENTOS!$B:$B,"&gt;="&amp;DATE(2026,7,1),MOVIMIENTOS!$B:$B,"&lt;"&amp;DATE(2026,8,1)))</f>
        <v/>
      </c>
      <c r="J104" s="5" t="str">
        <f aca="false">IF($C104="","",SUMIFS(MOVIMIENTOS!$I:$I,MOVIMIENTOS!$D:$D,"Aporte",MOVIMIENTOS!$E:$E,"Anual",MOVIMIENTOS!$J:$J,$C104,MOVIMIENTOS!$B:$B,"&gt;="&amp;DATE(2026,8,1),MOVIMIENTOS!$B:$B,"&lt;"&amp;DATE(2026,9,1)))</f>
        <v/>
      </c>
      <c r="K104" s="5" t="str">
        <f aca="false">IF($C104="","",SUMIFS(MOVIMIENTOS!$I:$I,MOVIMIENTOS!$D:$D,"Aporte",MOVIMIENTOS!$E:$E,"Anual",MOVIMIENTOS!$J:$J,$C104,MOVIMIENTOS!$B:$B,"&gt;="&amp;DATE(2026,9,1),MOVIMIENTOS!$B:$B,"&lt;"&amp;DATE(2026,10,1)))</f>
        <v/>
      </c>
      <c r="L104" s="5" t="str">
        <f aca="false">IF($C104="","",SUMIFS(MOVIMIENTOS!$I:$I,MOVIMIENTOS!$D:$D,"Aporte",MOVIMIENTOS!$E:$E,"Anual",MOVIMIENTOS!$J:$J,$C104,MOVIMIENTOS!$B:$B,"&gt;="&amp;DATE(2026,10,1),MOVIMIENTOS!$B:$B,"&lt;"&amp;DATE(2026,11,1)))</f>
        <v/>
      </c>
      <c r="M104" s="5" t="str">
        <f aca="false">IF($C104="","",SUMIFS(MOVIMIENTOS!$I:$I,MOVIMIENTOS!$D:$D,"Aporte",MOVIMIENTOS!$E:$E,"Anual",MOVIMIENTOS!$J:$J,$C104,MOVIMIENTOS!$B:$B,"&gt;="&amp;DATE(2026,11,1),MOVIMIENTOS!$B:$B,"&lt;"&amp;DATE(2026,12,1)))</f>
        <v/>
      </c>
      <c r="N104" s="5" t="str">
        <f aca="false">IF($C104="","",SUMIFS(MOVIMIENTOS!$I:$I,MOVIMIENTOS!$D:$D,"Aporte",MOVIMIENTOS!$E:$E,"Anual",MOVIMIENTOS!$J:$J,$C104,MOVIMIENTOS!$B:$B,"&gt;="&amp;DATE(2026,12,1),MOVIMIENTOS!$B:$B,"&lt;"&amp;DATE(2026,13,1)))</f>
        <v/>
      </c>
      <c r="O104" s="5" t="str">
        <f aca="false">IF($C104="","",SUM(E104:N104))</f>
        <v/>
      </c>
      <c r="P104" s="5" t="str">
        <f aca="false">IF($C104="","",SUMIFS(MOVIMIENTOS!$I:$I,MOVIMIENTOS!$D:$D,"Aporte",MOVIMIENTOS!$E:$E,"Extraordinaria",MOVIMIENTOS!$F:$F,P$4,MOVIMIENTOS!$J:$J,$C104))</f>
        <v/>
      </c>
      <c r="Q104" s="5" t="str">
        <f aca="false">IF($C104="","",SUMIFS(MOVIMIENTOS!$I:$I,MOVIMIENTOS!$D:$D,"Aporte",MOVIMIENTOS!$E:$E,"Extraordinaria",MOVIMIENTOS!$F:$F,Q$4,MOVIMIENTOS!$J:$J,$C104))</f>
        <v/>
      </c>
      <c r="R104" s="5" t="str">
        <f aca="false">IF($C104="","",SUMIFS(MOVIMIENTOS!$I:$I,MOVIMIENTOS!$D:$D,"Aporte",MOVIMIENTOS!$E:$E,"Extraordinaria",MOVIMIENTOS!$F:$F,R$4,MOVIMIENTOS!$J:$J,$C104))</f>
        <v/>
      </c>
      <c r="S104" s="5" t="str">
        <f aca="false">IF($C104="","",SUMIFS(MOVIMIENTOS!$I:$I,MOVIMIENTOS!$D:$D,"Aporte",MOVIMIENTOS!$E:$E,"Extraordinaria",MOVIMIENTOS!$F:$F,S$4,MOVIMIENTOS!$J:$J,$C104))</f>
        <v/>
      </c>
      <c r="T104" s="5" t="str">
        <f aca="false">IF($C104="","",SUMIFS(MOVIMIENTOS!$I:$I,MOVIMIENTOS!$D:$D,"Aporte",MOVIMIENTOS!$E:$E,"Extraordinaria",MOVIMIENTOS!$F:$F,T$4,MOVIMIENTOS!$J:$J,$C104))</f>
        <v/>
      </c>
      <c r="U104" s="5" t="str">
        <f aca="false">IF($C104="","",SUMIFS(MOVIMIENTOS!$I:$I,MOVIMIENTOS!$D:$D,"Aporte",MOVIMIENTOS!$E:$E,"Extraordinaria",MOVIMIENTOS!$F:$F,U$4,MOVIMIENTOS!$J:$J,$C104))</f>
        <v/>
      </c>
      <c r="V104" s="5" t="str">
        <f aca="false">IF($C104="","",SUMIFS(MOVIMIENTOS!$I:$I,MOVIMIENTOS!$D:$D,"Aporte",MOVIMIENTOS!$E:$E,"Extraordinaria",MOVIMIENTOS!$F:$F,V$4,MOVIMIENTOS!$J:$J,$C104))</f>
        <v/>
      </c>
      <c r="W104" s="5" t="str">
        <f aca="false">IF($C104="","",SUM(P104:V104))</f>
        <v/>
      </c>
      <c r="X104" s="5" t="str">
        <f aca="false">IF($C104="","",O104+W104)</f>
        <v/>
      </c>
      <c r="Y104" s="12"/>
    </row>
  </sheetData>
  <autoFilter ref="A4:Y41"/>
  <mergeCells count="2">
    <mergeCell ref="A1:Y1"/>
    <mergeCell ref="A2:Y2"/>
  </mergeCells>
  <printOptions headings="false" gridLines="false" gridLinesSet="true" horizontalCentered="false" verticalCentered="false"/>
  <pageMargins left="0.25" right="0.25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&amp;LTesorería Multiorganizacional&amp;RPágina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34.03"/>
    <col collapsed="false" customWidth="true" hidden="false" outlineLevel="0" max="5" min="3" style="0" width="20.05"/>
  </cols>
  <sheetData>
    <row r="1" customFormat="false" ht="30" hidden="false" customHeight="true" outlineLevel="0" collapsed="false">
      <c r="B1" s="19" t="s">
        <v>179</v>
      </c>
      <c r="C1" s="19"/>
      <c r="D1" s="19"/>
      <c r="E1" s="19"/>
    </row>
    <row r="2" customFormat="false" ht="30" hidden="false" customHeight="true" outlineLevel="0" collapsed="false">
      <c r="B2" s="20" t="s">
        <v>180</v>
      </c>
      <c r="C2" s="20"/>
      <c r="D2" s="20"/>
      <c r="E2" s="20"/>
    </row>
    <row r="3" customFormat="false" ht="6" hidden="false" customHeight="true" outlineLevel="0" collapsed="false"/>
    <row r="4" customFormat="false" ht="15" hidden="false" customHeight="true" outlineLevel="0" collapsed="false">
      <c r="B4" s="21" t="s">
        <v>2</v>
      </c>
      <c r="C4" s="21" t="s">
        <v>3</v>
      </c>
      <c r="D4" s="21" t="s">
        <v>4</v>
      </c>
      <c r="E4" s="21" t="s">
        <v>5</v>
      </c>
    </row>
    <row r="5" customFormat="false" ht="15" hidden="false" customHeight="true" outlineLevel="0" collapsed="false">
      <c r="B5" s="22" t="s">
        <v>181</v>
      </c>
      <c r="C5" s="23" t="e">
        <f aca="false">'ingresos tesorero'!k1</f>
        <v>#NAME?</v>
      </c>
      <c r="D5" s="23" t="e">
        <f aca="false">'caja presidenta'!d1</f>
        <v>#NAME?</v>
      </c>
      <c r="E5" s="23" t="e">
        <f aca="false">C5+D5</f>
        <v>#NAME?</v>
      </c>
    </row>
    <row r="6" customFormat="false" ht="15" hidden="false" customHeight="true" outlineLevel="0" collapsed="false">
      <c r="B6" s="22" t="s">
        <v>182</v>
      </c>
      <c r="C6" s="23" t="e">
        <f aca="false">'ingresos tesorero'!k2</f>
        <v>#NAME?</v>
      </c>
      <c r="D6" s="23" t="e">
        <f aca="false">'caja presidenta'!d2</f>
        <v>#NAME?</v>
      </c>
      <c r="E6" s="23" t="e">
        <f aca="false">C6+D6</f>
        <v>#NAME?</v>
      </c>
    </row>
    <row r="7" customFormat="false" ht="15" hidden="false" customHeight="true" outlineLevel="0" collapsed="false">
      <c r="B7" s="24" t="s">
        <v>183</v>
      </c>
      <c r="C7" s="25" t="e">
        <f aca="false">'ingresos tesorero'!k3</f>
        <v>#NAME?</v>
      </c>
      <c r="D7" s="25" t="e">
        <f aca="false">'caja presidenta'!d3</f>
        <v>#NAME?</v>
      </c>
      <c r="E7" s="25" t="e">
        <f aca="false">C7+D7</f>
        <v>#NAME?</v>
      </c>
    </row>
    <row r="9" customFormat="false" ht="15.75" hidden="false" customHeight="true" outlineLevel="0" collapsed="false">
      <c r="B9" s="26" t="s">
        <v>184</v>
      </c>
      <c r="C9" s="26"/>
      <c r="D9" s="26"/>
      <c r="E9" s="27" t="e">
        <f aca="false">'caja presidenta'!d3</f>
        <v>#NAME?</v>
      </c>
    </row>
    <row r="11" customFormat="false" ht="27.75" hidden="false" customHeight="true" outlineLevel="0" collapsed="false">
      <c r="B11" s="28" t="s">
        <v>185</v>
      </c>
      <c r="C11" s="28"/>
      <c r="D11" s="28"/>
      <c r="E11" s="28"/>
    </row>
    <row r="12" customFormat="false" ht="15.75" hidden="false" customHeight="true" outlineLevel="0" collapsed="false">
      <c r="B12" s="29" t="s">
        <v>5</v>
      </c>
      <c r="C12" s="30"/>
      <c r="D12" s="30"/>
      <c r="E12" s="31" t="e">
        <f aca="false">'ingresos tesorero'!k3+'caja presidenta'!d3</f>
        <v>#NAME?</v>
      </c>
    </row>
    <row r="14" customFormat="false" ht="15" hidden="false" customHeight="true" outlineLevel="0" collapsed="false">
      <c r="B14" s="32"/>
    </row>
    <row r="15" customFormat="false" ht="15" hidden="false" customHeight="true" outlineLevel="0" collapsed="false"/>
    <row r="16" customFormat="false" ht="15" hidden="false" customHeight="true" outlineLevel="0" collapsed="false"/>
  </sheetData>
  <mergeCells count="4">
    <mergeCell ref="B1:E1"/>
    <mergeCell ref="B2:E2"/>
    <mergeCell ref="B9:D9"/>
    <mergeCell ref="B11:E1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T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3" min="3" style="0" width="46.15"/>
    <col collapsed="false" customWidth="true" hidden="false" outlineLevel="0" max="4" min="4" style="0" width="20.58"/>
    <col collapsed="false" customWidth="true" hidden="false" outlineLevel="0" max="5" min="5" style="0" width="15.47"/>
    <col collapsed="false" customWidth="true" hidden="false" outlineLevel="0" max="6" min="6" style="0" width="15.2"/>
    <col collapsed="false" customWidth="true" hidden="false" outlineLevel="0" max="7" min="7" style="0" width="22.06"/>
    <col collapsed="false" customWidth="true" hidden="false" outlineLevel="0" max="8" min="8" style="0" width="9.95"/>
    <col collapsed="false" customWidth="true" hidden="false" outlineLevel="0" max="9" min="9" style="0" width="8.47"/>
    <col collapsed="false" customWidth="true" hidden="false" outlineLevel="0" max="10" min="10" style="0" width="9.01"/>
    <col collapsed="false" customWidth="true" hidden="false" outlineLevel="0" max="19" min="19" style="0" width="13.18"/>
  </cols>
  <sheetData>
    <row r="1" customFormat="false" ht="25.5" hidden="false" customHeight="true" outlineLevel="0" collapsed="false">
      <c r="B1" s="33" t="s">
        <v>186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customFormat="false" ht="24" hidden="false" customHeight="true" outlineLevel="0" collapsed="false">
      <c r="B2" s="34" t="s">
        <v>187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4" customFormat="false" ht="15" hidden="false" customHeight="true" outlineLevel="0" collapsed="false">
      <c r="B4" s="0" t="s">
        <v>30</v>
      </c>
      <c r="C4" s="0" t="s">
        <v>63</v>
      </c>
      <c r="D4" s="0" t="s">
        <v>188</v>
      </c>
      <c r="E4" s="0" t="s">
        <v>76</v>
      </c>
      <c r="F4" s="0" t="s">
        <v>189</v>
      </c>
      <c r="G4" s="0" t="s">
        <v>78</v>
      </c>
      <c r="H4" s="0" t="s">
        <v>65</v>
      </c>
      <c r="I4" s="0" t="s">
        <v>66</v>
      </c>
      <c r="J4" s="0" t="s">
        <v>67</v>
      </c>
      <c r="K4" s="0" t="s">
        <v>68</v>
      </c>
      <c r="L4" s="0" t="s">
        <v>69</v>
      </c>
      <c r="M4" s="0" t="s">
        <v>70</v>
      </c>
      <c r="N4" s="0" t="s">
        <v>71</v>
      </c>
      <c r="O4" s="0" t="s">
        <v>72</v>
      </c>
      <c r="P4" s="0" t="s">
        <v>73</v>
      </c>
      <c r="Q4" s="0" t="s">
        <v>74</v>
      </c>
      <c r="R4" s="0" t="s">
        <v>81</v>
      </c>
      <c r="S4" s="35" t="s">
        <v>190</v>
      </c>
    </row>
    <row r="5" customFormat="false" ht="15" hidden="false" customHeight="true" outlineLevel="0" collapsed="false">
      <c r="A5" s="0" t="n">
        <v>1</v>
      </c>
      <c r="B5" s="0" t="s">
        <v>86</v>
      </c>
      <c r="C5" s="0" t="s">
        <v>87</v>
      </c>
      <c r="D5" s="0" t="s">
        <v>88</v>
      </c>
      <c r="E5" s="36" t="n">
        <v>1000</v>
      </c>
      <c r="F5" s="37" t="n">
        <v>2000</v>
      </c>
      <c r="G5" s="36"/>
      <c r="H5" s="36" t="n">
        <v>3000</v>
      </c>
      <c r="I5" s="36" t="n">
        <v>3000</v>
      </c>
      <c r="J5" s="36" t="n">
        <v>3000</v>
      </c>
      <c r="K5" s="36" t="n">
        <v>3000</v>
      </c>
      <c r="L5" s="36" t="n">
        <v>3000</v>
      </c>
      <c r="M5" s="36"/>
      <c r="N5" s="36"/>
      <c r="O5" s="36"/>
      <c r="P5" s="36"/>
      <c r="Q5" s="36"/>
      <c r="R5" s="36"/>
      <c r="S5" s="38" t="e">
        <f aca="false">SUM(tabla18[[#this row],[cumpl profesor]:[rifa]])</f>
        <v>#N/A</v>
      </c>
    </row>
    <row r="6" customFormat="false" ht="15" hidden="false" customHeight="true" outlineLevel="0" collapsed="false">
      <c r="A6" s="0" t="n">
        <v>2</v>
      </c>
      <c r="B6" s="0" t="s">
        <v>89</v>
      </c>
      <c r="C6" s="0" t="s">
        <v>90</v>
      </c>
      <c r="D6" s="0" t="s">
        <v>91</v>
      </c>
      <c r="E6" s="36" t="n">
        <v>1000</v>
      </c>
      <c r="F6" s="36"/>
      <c r="G6" s="36" t="n">
        <v>2000</v>
      </c>
      <c r="H6" s="36" t="n">
        <v>3000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8" t="e">
        <f aca="false">SUM(tabla18[[#this row],[cumpl profesor]:[rifa]])</f>
        <v>#N/A</v>
      </c>
    </row>
    <row r="7" customFormat="false" ht="15" hidden="false" customHeight="true" outlineLevel="0" collapsed="false">
      <c r="A7" s="0" t="n">
        <v>3</v>
      </c>
      <c r="B7" s="0" t="s">
        <v>92</v>
      </c>
      <c r="C7" s="0" t="s">
        <v>93</v>
      </c>
      <c r="D7" s="0" t="s">
        <v>94</v>
      </c>
      <c r="E7" s="36" t="n">
        <v>1000</v>
      </c>
      <c r="F7" s="36" t="n">
        <v>2000</v>
      </c>
      <c r="G7" s="36" t="n">
        <v>2000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 t="n">
        <v>1000</v>
      </c>
      <c r="S7" s="38" t="e">
        <f aca="false">SUM(tabla18[[#this row],[cumpl profesor]:[rifa]])</f>
        <v>#N/A</v>
      </c>
    </row>
    <row r="8" customFormat="false" ht="15" hidden="false" customHeight="true" outlineLevel="0" collapsed="false">
      <c r="A8" s="0" t="n">
        <v>4</v>
      </c>
      <c r="B8" s="0" t="s">
        <v>95</v>
      </c>
      <c r="C8" s="0" t="s">
        <v>96</v>
      </c>
      <c r="D8" s="0" t="s">
        <v>97</v>
      </c>
      <c r="E8" s="36" t="n">
        <v>1000</v>
      </c>
      <c r="F8" s="36" t="n">
        <v>2000</v>
      </c>
      <c r="G8" s="36" t="n">
        <v>2000</v>
      </c>
      <c r="H8" s="36" t="n">
        <v>3000</v>
      </c>
      <c r="I8" s="36" t="n">
        <v>3000</v>
      </c>
      <c r="J8" s="36" t="n">
        <v>3000</v>
      </c>
      <c r="K8" s="36"/>
      <c r="L8" s="36"/>
      <c r="M8" s="36"/>
      <c r="N8" s="36"/>
      <c r="O8" s="36"/>
      <c r="P8" s="36"/>
      <c r="Q8" s="36"/>
      <c r="R8" s="36"/>
      <c r="S8" s="38" t="e">
        <f aca="false">SUM(tabla18[[#this row],[cumpl profesor]:[rifa]])</f>
        <v>#N/A</v>
      </c>
    </row>
    <row r="9" customFormat="false" ht="15" hidden="false" customHeight="true" outlineLevel="0" collapsed="false">
      <c r="C9" s="0" t="s">
        <v>98</v>
      </c>
      <c r="E9" s="36"/>
      <c r="F9" s="36"/>
      <c r="G9" s="36"/>
      <c r="H9" s="37" t="n">
        <v>3000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8" t="e">
        <f aca="false">SUM(tabla18[[#this row],[cumpl profesor]:[rifa]])</f>
        <v>#N/A</v>
      </c>
    </row>
    <row r="10" customFormat="false" ht="15" hidden="false" customHeight="true" outlineLevel="0" collapsed="false">
      <c r="A10" s="0" t="n">
        <v>6</v>
      </c>
      <c r="B10" s="0" t="s">
        <v>99</v>
      </c>
      <c r="C10" s="0" t="s">
        <v>100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8" t="e">
        <f aca="false">SUM(tabla18[[#this row],[cumpl profesor]:[rifa]])</f>
        <v>#N/A</v>
      </c>
    </row>
    <row r="11" customFormat="false" ht="15" hidden="false" customHeight="true" outlineLevel="0" collapsed="false">
      <c r="A11" s="0" t="n">
        <v>7</v>
      </c>
      <c r="B11" s="39" t="s">
        <v>101</v>
      </c>
      <c r="C11" s="0" t="s">
        <v>102</v>
      </c>
      <c r="E11" s="36" t="n">
        <v>1000</v>
      </c>
      <c r="F11" s="36"/>
      <c r="G11" s="36" t="n">
        <v>2000</v>
      </c>
      <c r="H11" s="36" t="n">
        <v>3000</v>
      </c>
      <c r="I11" s="36" t="n">
        <v>3000</v>
      </c>
      <c r="J11" s="36" t="n">
        <v>3000</v>
      </c>
      <c r="K11" s="36"/>
      <c r="L11" s="36"/>
      <c r="M11" s="36"/>
      <c r="N11" s="36"/>
      <c r="O11" s="36"/>
      <c r="P11" s="36"/>
      <c r="Q11" s="36"/>
      <c r="R11" s="36"/>
      <c r="S11" s="38" t="e">
        <f aca="false">SUM(tabla18[[#this row],[cumpl profesor]:[rifa]])</f>
        <v>#N/A</v>
      </c>
    </row>
    <row r="12" customFormat="false" ht="15" hidden="false" customHeight="true" outlineLevel="0" collapsed="false">
      <c r="A12" s="0" t="n">
        <v>8</v>
      </c>
      <c r="B12" s="0" t="s">
        <v>103</v>
      </c>
      <c r="C12" s="0" t="s">
        <v>104</v>
      </c>
      <c r="D12" s="0" t="s">
        <v>105</v>
      </c>
      <c r="E12" s="36" t="n">
        <v>1000</v>
      </c>
      <c r="F12" s="37" t="n">
        <v>2000</v>
      </c>
      <c r="G12" s="36" t="n">
        <v>2000</v>
      </c>
      <c r="H12" s="36" t="n">
        <v>3000</v>
      </c>
      <c r="I12" s="36" t="n">
        <v>3000</v>
      </c>
      <c r="J12" s="36" t="n">
        <v>3000</v>
      </c>
      <c r="K12" s="36" t="n">
        <v>3000</v>
      </c>
      <c r="L12" s="36" t="n">
        <v>3000</v>
      </c>
      <c r="M12" s="36"/>
      <c r="N12" s="36"/>
      <c r="O12" s="36"/>
      <c r="P12" s="36"/>
      <c r="Q12" s="36"/>
      <c r="R12" s="36"/>
      <c r="S12" s="38" t="e">
        <f aca="false">SUM(tabla18[[#this row],[cumpl profesor]:[rifa]])</f>
        <v>#N/A</v>
      </c>
    </row>
    <row r="13" customFormat="false" ht="15" hidden="false" customHeight="true" outlineLevel="0" collapsed="false">
      <c r="A13" s="0" t="n">
        <v>9</v>
      </c>
      <c r="B13" s="0" t="s">
        <v>106</v>
      </c>
      <c r="C13" s="0" t="s">
        <v>107</v>
      </c>
      <c r="E13" s="36" t="n">
        <v>1000</v>
      </c>
      <c r="F13" s="37" t="n">
        <v>2000</v>
      </c>
      <c r="G13" s="36" t="n">
        <v>2000</v>
      </c>
      <c r="H13" s="36" t="n">
        <v>3000</v>
      </c>
      <c r="I13" s="36" t="n">
        <v>3000</v>
      </c>
      <c r="J13" s="36" t="n">
        <v>3000</v>
      </c>
      <c r="K13" s="36" t="n">
        <v>3000</v>
      </c>
      <c r="L13" s="36"/>
      <c r="M13" s="36"/>
      <c r="N13" s="36"/>
      <c r="O13" s="36"/>
      <c r="P13" s="36"/>
      <c r="Q13" s="36"/>
      <c r="R13" s="36"/>
      <c r="S13" s="38" t="e">
        <f aca="false">SUM(tabla18[[#this row],[cumpl profesor]:[rifa]])</f>
        <v>#N/A</v>
      </c>
    </row>
    <row r="14" customFormat="false" ht="15" hidden="false" customHeight="true" outlineLevel="0" collapsed="false">
      <c r="A14" s="0" t="n">
        <v>10</v>
      </c>
      <c r="B14" s="0" t="s">
        <v>108</v>
      </c>
      <c r="C14" s="0" t="s">
        <v>109</v>
      </c>
      <c r="E14" s="36" t="n">
        <v>1000</v>
      </c>
      <c r="F14" s="37" t="n">
        <v>2000</v>
      </c>
      <c r="G14" s="36" t="n">
        <v>2000</v>
      </c>
      <c r="H14" s="36" t="n">
        <v>3000</v>
      </c>
      <c r="I14" s="36" t="n">
        <v>3000</v>
      </c>
      <c r="J14" s="36" t="n">
        <v>3000</v>
      </c>
      <c r="K14" s="36" t="n">
        <v>3000</v>
      </c>
      <c r="L14" s="36"/>
      <c r="M14" s="36"/>
      <c r="N14" s="36"/>
      <c r="O14" s="36"/>
      <c r="P14" s="36"/>
      <c r="Q14" s="36"/>
      <c r="R14" s="36"/>
      <c r="S14" s="38" t="e">
        <f aca="false">SUM(tabla18[[#this row],[cumpl profesor]:[rifa]])</f>
        <v>#N/A</v>
      </c>
    </row>
    <row r="15" customFormat="false" ht="15" hidden="false" customHeight="true" outlineLevel="0" collapsed="false">
      <c r="A15" s="0" t="n">
        <v>11</v>
      </c>
      <c r="B15" s="0" t="s">
        <v>110</v>
      </c>
      <c r="C15" s="0" t="s">
        <v>111</v>
      </c>
      <c r="D15" s="0" t="s">
        <v>112</v>
      </c>
      <c r="E15" s="36" t="n">
        <v>1000</v>
      </c>
      <c r="F15" s="36" t="n">
        <v>2000</v>
      </c>
      <c r="G15" s="36" t="n">
        <v>2000</v>
      </c>
      <c r="H15" s="36" t="n">
        <v>3000</v>
      </c>
      <c r="I15" s="36" t="n">
        <v>3000</v>
      </c>
      <c r="J15" s="36" t="n">
        <v>3000</v>
      </c>
      <c r="K15" s="36" t="n">
        <v>3000</v>
      </c>
      <c r="L15" s="36" t="n">
        <v>3000</v>
      </c>
      <c r="M15" s="36"/>
      <c r="N15" s="36"/>
      <c r="O15" s="36"/>
      <c r="P15" s="36"/>
      <c r="Q15" s="36"/>
      <c r="R15" s="36" t="n">
        <v>1000</v>
      </c>
      <c r="S15" s="38" t="e">
        <f aca="false">SUM(tabla18[[#this row],[cumpl profesor]:[rifa]])</f>
        <v>#N/A</v>
      </c>
    </row>
    <row r="16" customFormat="false" ht="15" hidden="false" customHeight="true" outlineLevel="0" collapsed="false">
      <c r="A16" s="0" t="n">
        <v>12</v>
      </c>
      <c r="B16" s="0" t="s">
        <v>113</v>
      </c>
      <c r="C16" s="0" t="s">
        <v>114</v>
      </c>
      <c r="D16" s="0" t="s">
        <v>115</v>
      </c>
      <c r="E16" s="36" t="n">
        <v>1000</v>
      </c>
      <c r="F16" s="36" t="n">
        <v>2000</v>
      </c>
      <c r="G16" s="36"/>
      <c r="H16" s="36" t="n">
        <v>3000</v>
      </c>
      <c r="I16" s="36" t="n">
        <v>3000</v>
      </c>
      <c r="J16" s="36" t="n">
        <v>3000</v>
      </c>
      <c r="K16" s="36" t="n">
        <v>3000</v>
      </c>
      <c r="L16" s="36" t="n">
        <v>3000</v>
      </c>
      <c r="M16" s="36" t="n">
        <v>3000</v>
      </c>
      <c r="N16" s="36"/>
      <c r="O16" s="36"/>
      <c r="P16" s="36"/>
      <c r="Q16" s="36"/>
      <c r="R16" s="36"/>
      <c r="S16" s="38" t="e">
        <f aca="false">SUM(tabla18[[#this row],[cumpl profesor]:[rifa]])</f>
        <v>#N/A</v>
      </c>
    </row>
    <row r="17" customFormat="false" ht="15" hidden="false" customHeight="true" outlineLevel="0" collapsed="false">
      <c r="A17" s="0" t="n">
        <v>13</v>
      </c>
      <c r="B17" s="0" t="s">
        <v>116</v>
      </c>
      <c r="C17" s="0" t="s">
        <v>117</v>
      </c>
      <c r="D17" s="0" t="s">
        <v>118</v>
      </c>
      <c r="E17" s="36" t="n">
        <v>1000</v>
      </c>
      <c r="F17" s="37" t="n">
        <v>2000</v>
      </c>
      <c r="G17" s="36" t="n">
        <v>2000</v>
      </c>
      <c r="H17" s="36" t="n">
        <v>3000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8" t="e">
        <f aca="false">SUM(tabla18[[#this row],[cumpl profesor]:[rifa]])</f>
        <v>#N/A</v>
      </c>
    </row>
    <row r="18" customFormat="false" ht="15" hidden="false" customHeight="true" outlineLevel="0" collapsed="false">
      <c r="A18" s="0" t="n">
        <v>14</v>
      </c>
      <c r="B18" s="0" t="s">
        <v>119</v>
      </c>
      <c r="C18" s="0" t="s">
        <v>120</v>
      </c>
      <c r="D18" s="0" t="s">
        <v>118</v>
      </c>
      <c r="E18" s="36" t="n">
        <v>1000</v>
      </c>
      <c r="F18" s="37" t="n">
        <v>2000</v>
      </c>
      <c r="G18" s="36" t="n">
        <v>2000</v>
      </c>
      <c r="H18" s="36" t="n">
        <v>3000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8" t="e">
        <f aca="false">SUM(tabla18[[#this row],[cumpl profesor]:[rifa]])</f>
        <v>#N/A</v>
      </c>
    </row>
    <row r="19" customFormat="false" ht="15" hidden="false" customHeight="true" outlineLevel="0" collapsed="false">
      <c r="A19" s="0" t="n">
        <v>15</v>
      </c>
      <c r="B19" s="0" t="s">
        <v>121</v>
      </c>
      <c r="C19" s="0" t="s">
        <v>122</v>
      </c>
      <c r="D19" s="0" t="s">
        <v>123</v>
      </c>
      <c r="E19" s="36" t="n">
        <v>1000</v>
      </c>
      <c r="F19" s="37" t="n">
        <v>2000</v>
      </c>
      <c r="G19" s="36" t="n">
        <v>2000</v>
      </c>
      <c r="H19" s="36" t="n">
        <v>3000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8" t="e">
        <f aca="false">SUM(tabla18[[#this row],[cumpl profesor]:[rifa]])</f>
        <v>#N/A</v>
      </c>
    </row>
    <row r="20" customFormat="false" ht="15" hidden="false" customHeight="true" outlineLevel="0" collapsed="false">
      <c r="A20" s="0" t="n">
        <v>16</v>
      </c>
      <c r="B20" s="0" t="s">
        <v>124</v>
      </c>
      <c r="C20" s="0" t="s">
        <v>125</v>
      </c>
      <c r="E20" s="37" t="n">
        <v>1000</v>
      </c>
      <c r="F20" s="37" t="n">
        <v>2000</v>
      </c>
      <c r="G20" s="36" t="n">
        <v>2000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8" t="e">
        <f aca="false">SUM(tabla18[[#this row],[cumpl profesor]:[rifa]])</f>
        <v>#N/A</v>
      </c>
    </row>
    <row r="21" customFormat="false" ht="15" hidden="false" customHeight="true" outlineLevel="0" collapsed="false">
      <c r="A21" s="0" t="n">
        <v>17</v>
      </c>
      <c r="B21" s="0" t="s">
        <v>126</v>
      </c>
      <c r="C21" s="0" t="s">
        <v>127</v>
      </c>
      <c r="D21" s="0" t="s">
        <v>128</v>
      </c>
      <c r="E21" s="37" t="n">
        <v>1000</v>
      </c>
      <c r="F21" s="37" t="n">
        <v>2000</v>
      </c>
      <c r="G21" s="36" t="n">
        <v>2000</v>
      </c>
      <c r="H21" s="36" t="n">
        <v>3000</v>
      </c>
      <c r="I21" s="36" t="n">
        <v>3000</v>
      </c>
      <c r="J21" s="36" t="n">
        <v>3000</v>
      </c>
      <c r="K21" s="36" t="n">
        <v>3000</v>
      </c>
      <c r="L21" s="36" t="n">
        <v>3000</v>
      </c>
      <c r="M21" s="36"/>
      <c r="N21" s="36"/>
      <c r="O21" s="36"/>
      <c r="P21" s="36"/>
      <c r="Q21" s="36"/>
      <c r="R21" s="36"/>
      <c r="S21" s="38" t="e">
        <f aca="false">SUM(tabla18[[#this row],[cumpl profesor]:[rifa]])</f>
        <v>#N/A</v>
      </c>
    </row>
    <row r="22" customFormat="false" ht="15" hidden="false" customHeight="true" outlineLevel="0" collapsed="false">
      <c r="A22" s="0" t="n">
        <v>18</v>
      </c>
      <c r="B22" s="0" t="s">
        <v>129</v>
      </c>
      <c r="C22" s="0" t="s">
        <v>130</v>
      </c>
      <c r="D22" s="0" t="s">
        <v>131</v>
      </c>
      <c r="E22" s="36" t="n">
        <v>1000</v>
      </c>
      <c r="F22" s="36" t="n">
        <v>2000</v>
      </c>
      <c r="G22" s="36" t="n">
        <v>2000</v>
      </c>
      <c r="H22" s="36" t="n">
        <v>3000</v>
      </c>
      <c r="I22" s="36"/>
      <c r="J22" s="36"/>
      <c r="K22" s="36"/>
      <c r="L22" s="36"/>
      <c r="M22" s="36"/>
      <c r="N22" s="36"/>
      <c r="O22" s="36"/>
      <c r="P22" s="36"/>
      <c r="Q22" s="36"/>
      <c r="R22" s="36" t="n">
        <v>1000</v>
      </c>
      <c r="S22" s="38" t="e">
        <f aca="false">SUM(tabla18[[#this row],[cumpl profesor]:[rifa]])</f>
        <v>#N/A</v>
      </c>
    </row>
    <row r="23" customFormat="false" ht="15" hidden="false" customHeight="true" outlineLevel="0" collapsed="false">
      <c r="A23" s="0" t="n">
        <v>19</v>
      </c>
      <c r="B23" s="0" t="s">
        <v>132</v>
      </c>
      <c r="C23" s="0" t="s">
        <v>133</v>
      </c>
      <c r="D23" s="0" t="s">
        <v>134</v>
      </c>
      <c r="E23" s="36" t="n">
        <v>1000</v>
      </c>
      <c r="F23" s="36" t="n">
        <v>2000</v>
      </c>
      <c r="G23" s="36" t="n">
        <v>2000</v>
      </c>
      <c r="H23" s="36" t="n">
        <v>3000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8" t="e">
        <f aca="false">SUM(tabla18[[#this row],[cumpl profesor]:[rifa]])</f>
        <v>#N/A</v>
      </c>
    </row>
    <row r="24" customFormat="false" ht="15" hidden="false" customHeight="true" outlineLevel="0" collapsed="false">
      <c r="A24" s="0" t="n">
        <v>20</v>
      </c>
      <c r="B24" s="0" t="s">
        <v>135</v>
      </c>
      <c r="C24" s="0" t="s">
        <v>136</v>
      </c>
      <c r="D24" s="0" t="s">
        <v>137</v>
      </c>
      <c r="E24" s="37" t="n">
        <v>1000</v>
      </c>
      <c r="F24" s="37" t="n">
        <v>2000</v>
      </c>
      <c r="G24" s="36" t="n">
        <v>2000</v>
      </c>
      <c r="H24" s="36" t="n">
        <v>3000</v>
      </c>
      <c r="I24" s="36" t="n">
        <v>3000</v>
      </c>
      <c r="J24" s="36" t="n">
        <v>3000</v>
      </c>
      <c r="K24" s="36"/>
      <c r="L24" s="36"/>
      <c r="M24" s="36"/>
      <c r="N24" s="36"/>
      <c r="O24" s="36"/>
      <c r="P24" s="36"/>
      <c r="Q24" s="36"/>
      <c r="R24" s="36"/>
      <c r="S24" s="38" t="e">
        <f aca="false">SUM(tabla18[[#this row],[cumpl profesor]:[rifa]])</f>
        <v>#N/A</v>
      </c>
    </row>
    <row r="25" customFormat="false" ht="15" hidden="false" customHeight="true" outlineLevel="0" collapsed="false">
      <c r="A25" s="0" t="n">
        <v>21</v>
      </c>
      <c r="B25" s="0" t="s">
        <v>138</v>
      </c>
      <c r="C25" s="0" t="s">
        <v>139</v>
      </c>
      <c r="D25" s="0" t="s">
        <v>140</v>
      </c>
      <c r="E25" s="36" t="n">
        <v>1000</v>
      </c>
      <c r="F25" s="37" t="n">
        <v>2000</v>
      </c>
      <c r="G25" s="36" t="n">
        <v>2000</v>
      </c>
      <c r="H25" s="36" t="n">
        <v>3000</v>
      </c>
      <c r="I25" s="36" t="n">
        <v>3000</v>
      </c>
      <c r="J25" s="36" t="n">
        <v>3000</v>
      </c>
      <c r="K25" s="36" t="n">
        <v>3000</v>
      </c>
      <c r="L25" s="36"/>
      <c r="M25" s="36"/>
      <c r="N25" s="36"/>
      <c r="O25" s="36"/>
      <c r="P25" s="36"/>
      <c r="Q25" s="36"/>
      <c r="R25" s="36"/>
      <c r="S25" s="38" t="e">
        <f aca="false">SUM(tabla18[[#this row],[cumpl profesor]:[rifa]])</f>
        <v>#N/A</v>
      </c>
    </row>
    <row r="26" customFormat="false" ht="15" hidden="false" customHeight="true" outlineLevel="0" collapsed="false">
      <c r="A26" s="0" t="n">
        <v>22</v>
      </c>
      <c r="B26" s="0" t="s">
        <v>141</v>
      </c>
      <c r="C26" s="0" t="s">
        <v>142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8" t="e">
        <f aca="false">SUM(tabla18[[#this row],[cumpl profesor]:[rifa]])</f>
        <v>#N/A</v>
      </c>
    </row>
    <row r="27" customFormat="false" ht="15" hidden="false" customHeight="true" outlineLevel="0" collapsed="false">
      <c r="A27" s="0" t="n">
        <v>23</v>
      </c>
      <c r="B27" s="0" t="s">
        <v>143</v>
      </c>
      <c r="C27" s="0" t="s">
        <v>144</v>
      </c>
      <c r="D27" s="0" t="s">
        <v>145</v>
      </c>
      <c r="E27" s="36" t="n">
        <v>1000</v>
      </c>
      <c r="F27" s="37" t="n">
        <v>2000</v>
      </c>
      <c r="G27" s="36" t="n">
        <v>2000</v>
      </c>
      <c r="H27" s="36" t="n">
        <v>3000</v>
      </c>
      <c r="I27" s="36"/>
      <c r="J27" s="36"/>
      <c r="K27" s="36"/>
      <c r="L27" s="36"/>
      <c r="M27" s="36"/>
      <c r="N27" s="36"/>
      <c r="O27" s="36"/>
      <c r="P27" s="36"/>
      <c r="Q27" s="36"/>
      <c r="R27" s="37" t="n">
        <v>1000</v>
      </c>
      <c r="S27" s="38" t="e">
        <f aca="false">SUM(tabla18[[#this row],[cumpl profesor]:[rifa]])</f>
        <v>#N/A</v>
      </c>
    </row>
    <row r="28" customFormat="false" ht="15" hidden="false" customHeight="true" outlineLevel="0" collapsed="false">
      <c r="A28" s="0" t="n">
        <v>24</v>
      </c>
      <c r="B28" s="0" t="s">
        <v>146</v>
      </c>
      <c r="C28" s="0" t="s">
        <v>147</v>
      </c>
      <c r="D28" s="0" t="s">
        <v>148</v>
      </c>
      <c r="E28" s="36" t="n">
        <v>1000</v>
      </c>
      <c r="F28" s="37" t="n">
        <v>2000</v>
      </c>
      <c r="G28" s="36" t="n">
        <v>2000</v>
      </c>
      <c r="H28" s="36" t="n">
        <v>3000</v>
      </c>
      <c r="I28" s="36"/>
      <c r="J28" s="36"/>
      <c r="K28" s="36"/>
      <c r="L28" s="36"/>
      <c r="M28" s="36"/>
      <c r="N28" s="36"/>
      <c r="O28" s="36"/>
      <c r="P28" s="36"/>
      <c r="Q28" s="36"/>
      <c r="R28" s="37" t="n">
        <v>1000</v>
      </c>
      <c r="S28" s="38" t="e">
        <f aca="false">SUM(tabla18[[#this row],[cumpl profesor]:[rifa]])</f>
        <v>#N/A</v>
      </c>
    </row>
    <row r="29" customFormat="false" ht="15" hidden="false" customHeight="true" outlineLevel="0" collapsed="false">
      <c r="A29" s="0" t="n">
        <v>25</v>
      </c>
      <c r="B29" s="0" t="s">
        <v>149</v>
      </c>
      <c r="C29" s="0" t="s">
        <v>150</v>
      </c>
      <c r="D29" s="0" t="s">
        <v>151</v>
      </c>
      <c r="E29" s="37" t="n">
        <v>1000</v>
      </c>
      <c r="F29" s="37" t="n">
        <v>2000</v>
      </c>
      <c r="G29" s="36" t="n">
        <v>2000</v>
      </c>
      <c r="H29" s="36" t="n">
        <v>3000</v>
      </c>
      <c r="I29" s="36" t="n">
        <v>3000</v>
      </c>
      <c r="J29" s="40" t="n">
        <v>3000</v>
      </c>
      <c r="K29" s="40" t="n">
        <v>3000</v>
      </c>
      <c r="L29" s="40" t="n">
        <v>3000</v>
      </c>
      <c r="M29" s="36"/>
      <c r="N29" s="36"/>
      <c r="O29" s="36"/>
      <c r="P29" s="36"/>
      <c r="Q29" s="36"/>
      <c r="R29" s="36" t="n">
        <v>1000</v>
      </c>
      <c r="S29" s="38" t="e">
        <f aca="false">SUM(tabla18[[#this row],[cumpl profesor]:[rifa]])</f>
        <v>#N/A</v>
      </c>
    </row>
    <row r="30" customFormat="false" ht="15" hidden="false" customHeight="true" outlineLevel="0" collapsed="false">
      <c r="A30" s="0" t="n">
        <v>26</v>
      </c>
      <c r="B30" s="0" t="s">
        <v>152</v>
      </c>
      <c r="C30" s="0" t="s">
        <v>153</v>
      </c>
      <c r="D30" s="0" t="s">
        <v>154</v>
      </c>
      <c r="E30" s="36" t="n">
        <v>1000</v>
      </c>
      <c r="F30" s="36" t="n">
        <v>2000</v>
      </c>
      <c r="G30" s="36"/>
      <c r="H30" s="36" t="n">
        <v>3000</v>
      </c>
      <c r="I30" s="36" t="n">
        <v>3000</v>
      </c>
      <c r="J30" s="36" t="n">
        <v>3000</v>
      </c>
      <c r="K30" s="36" t="n">
        <v>3000</v>
      </c>
      <c r="L30" s="36" t="n">
        <v>3000</v>
      </c>
      <c r="M30" s="36" t="n">
        <v>3000</v>
      </c>
      <c r="N30" s="36"/>
      <c r="O30" s="36"/>
      <c r="P30" s="36"/>
      <c r="Q30" s="36"/>
      <c r="R30" s="36"/>
      <c r="S30" s="38" t="e">
        <f aca="false">SUM(tabla18[[#this row],[cumpl profesor]:[rifa]])</f>
        <v>#N/A</v>
      </c>
    </row>
    <row r="31" customFormat="false" ht="15" hidden="false" customHeight="true" outlineLevel="0" collapsed="false">
      <c r="A31" s="0" t="n">
        <v>27</v>
      </c>
      <c r="B31" s="0" t="s">
        <v>155</v>
      </c>
      <c r="C31" s="0" t="s">
        <v>156</v>
      </c>
      <c r="D31" s="0" t="s">
        <v>157</v>
      </c>
      <c r="E31" s="37" t="n">
        <v>1000</v>
      </c>
      <c r="F31" s="37" t="n">
        <v>2000</v>
      </c>
      <c r="G31" s="36" t="n">
        <v>2000</v>
      </c>
      <c r="H31" s="36" t="n">
        <v>3000</v>
      </c>
      <c r="I31" s="36" t="n">
        <v>3000</v>
      </c>
      <c r="J31" s="36" t="n">
        <v>3000</v>
      </c>
      <c r="K31" s="36" t="n">
        <v>3000</v>
      </c>
      <c r="L31" s="36" t="n">
        <v>3000</v>
      </c>
      <c r="M31" s="36" t="n">
        <v>3000</v>
      </c>
      <c r="N31" s="36" t="n">
        <v>3000</v>
      </c>
      <c r="O31" s="36" t="n">
        <v>3000</v>
      </c>
      <c r="P31" s="36" t="n">
        <v>3000</v>
      </c>
      <c r="Q31" s="36" t="n">
        <v>3000</v>
      </c>
      <c r="R31" s="36"/>
      <c r="S31" s="38" t="e">
        <f aca="false">SUM(tabla18[[#this row],[cumpl profesor]:[rifa]])</f>
        <v>#N/A</v>
      </c>
    </row>
    <row r="32" customFormat="false" ht="15" hidden="false" customHeight="true" outlineLevel="0" collapsed="false">
      <c r="A32" s="0" t="n">
        <v>28</v>
      </c>
      <c r="B32" s="0" t="s">
        <v>158</v>
      </c>
      <c r="C32" s="0" t="s">
        <v>159</v>
      </c>
      <c r="E32" s="37" t="n">
        <v>1000</v>
      </c>
      <c r="F32" s="37" t="n">
        <v>2000</v>
      </c>
      <c r="G32" s="36" t="n">
        <v>2000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8" t="e">
        <f aca="false">SUM(tabla18[[#this row],[cumpl profesor]:[rifa]])</f>
        <v>#N/A</v>
      </c>
    </row>
    <row r="33" customFormat="false" ht="15" hidden="false" customHeight="true" outlineLevel="0" collapsed="false">
      <c r="A33" s="0" t="n">
        <v>29</v>
      </c>
      <c r="B33" s="0" t="s">
        <v>160</v>
      </c>
      <c r="C33" s="0" t="s">
        <v>161</v>
      </c>
      <c r="D33" s="0" t="s">
        <v>162</v>
      </c>
      <c r="E33" s="36" t="n">
        <v>1000</v>
      </c>
      <c r="F33" s="37" t="n">
        <v>2000</v>
      </c>
      <c r="G33" s="36" t="n">
        <v>2000</v>
      </c>
      <c r="H33" s="36" t="n">
        <v>3000</v>
      </c>
      <c r="I33" s="36" t="n">
        <v>3000</v>
      </c>
      <c r="J33" s="36" t="n">
        <v>3000</v>
      </c>
      <c r="K33" s="36"/>
      <c r="L33" s="36"/>
      <c r="M33" s="36"/>
      <c r="N33" s="36"/>
      <c r="O33" s="36"/>
      <c r="P33" s="36"/>
      <c r="Q33" s="36"/>
      <c r="R33" s="36"/>
      <c r="S33" s="38" t="e">
        <f aca="false">SUM(tabla18[[#this row],[cumpl profesor]:[rifa]])</f>
        <v>#N/A</v>
      </c>
    </row>
    <row r="34" customFormat="false" ht="15" hidden="false" customHeight="true" outlineLevel="0" collapsed="false">
      <c r="A34" s="0" t="n">
        <v>30</v>
      </c>
      <c r="B34" s="0" t="s">
        <v>163</v>
      </c>
      <c r="C34" s="0" t="s">
        <v>164</v>
      </c>
      <c r="D34" s="0" t="s">
        <v>165</v>
      </c>
      <c r="E34" s="36" t="n">
        <v>1000</v>
      </c>
      <c r="F34" s="36" t="n">
        <v>2000</v>
      </c>
      <c r="G34" s="36" t="n">
        <v>2000</v>
      </c>
      <c r="H34" s="36" t="n">
        <v>3000</v>
      </c>
      <c r="I34" s="36" t="n">
        <v>3000</v>
      </c>
      <c r="J34" s="36" t="n">
        <v>3000</v>
      </c>
      <c r="K34" s="36" t="n">
        <v>3000</v>
      </c>
      <c r="L34" s="36" t="n">
        <v>3000</v>
      </c>
      <c r="M34" s="36"/>
      <c r="N34" s="36"/>
      <c r="O34" s="36"/>
      <c r="P34" s="36"/>
      <c r="Q34" s="36"/>
      <c r="R34" s="36"/>
      <c r="S34" s="38" t="e">
        <f aca="false">SUM(tabla18[[#this row],[cumpl profesor]:[rifa]])</f>
        <v>#N/A</v>
      </c>
    </row>
    <row r="35" customFormat="false" ht="15" hidden="false" customHeight="true" outlineLevel="0" collapsed="false">
      <c r="A35" s="0" t="n">
        <v>31</v>
      </c>
      <c r="B35" s="0" t="s">
        <v>166</v>
      </c>
      <c r="C35" s="0" t="s">
        <v>167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8" t="e">
        <f aca="false">SUM(tabla18[[#this row],[cumpl profesor]:[rifa]])</f>
        <v>#N/A</v>
      </c>
    </row>
    <row r="36" customFormat="false" ht="15" hidden="false" customHeight="true" outlineLevel="0" collapsed="false">
      <c r="A36" s="0" t="n">
        <v>32</v>
      </c>
      <c r="C36" s="0" t="s">
        <v>168</v>
      </c>
      <c r="E36" s="36" t="n">
        <v>1000</v>
      </c>
      <c r="F36" s="36" t="n">
        <v>2000</v>
      </c>
      <c r="G36" s="36" t="n">
        <v>2000</v>
      </c>
      <c r="H36" s="36" t="n">
        <v>3000</v>
      </c>
      <c r="I36" s="36" t="n">
        <v>3000</v>
      </c>
      <c r="J36" s="36" t="n">
        <v>3000</v>
      </c>
      <c r="K36" s="36" t="n">
        <v>3000</v>
      </c>
      <c r="L36" s="36"/>
      <c r="M36" s="36"/>
      <c r="N36" s="36"/>
      <c r="O36" s="36"/>
      <c r="P36" s="36"/>
      <c r="Q36" s="36"/>
      <c r="R36" s="36"/>
      <c r="S36" s="38" t="e">
        <f aca="false">SUM(tabla18[[#this row],[cumpl profesor]:[rifa]])</f>
        <v>#N/A</v>
      </c>
    </row>
    <row r="37" customFormat="false" ht="15" hidden="false" customHeight="true" outlineLevel="0" collapsed="false">
      <c r="A37" s="0" t="n">
        <v>33</v>
      </c>
      <c r="C37" s="0" t="s">
        <v>169</v>
      </c>
      <c r="D37" s="0" t="s">
        <v>170</v>
      </c>
      <c r="E37" s="36" t="n">
        <v>1000</v>
      </c>
      <c r="F37" s="36" t="n">
        <v>2000</v>
      </c>
      <c r="G37" s="36"/>
      <c r="H37" s="36" t="n">
        <v>3000</v>
      </c>
      <c r="I37" s="36" t="n">
        <v>3000</v>
      </c>
      <c r="J37" s="36" t="n">
        <v>3000</v>
      </c>
      <c r="K37" s="36" t="n">
        <v>3000</v>
      </c>
      <c r="L37" s="36"/>
      <c r="M37" s="36"/>
      <c r="N37" s="36"/>
      <c r="O37" s="36"/>
      <c r="P37" s="36"/>
      <c r="Q37" s="36"/>
      <c r="R37" s="36" t="n">
        <v>1000</v>
      </c>
      <c r="S37" s="38" t="e">
        <f aca="false">SUM(tabla18[[#this row],[cumpl profesor]:[rifa]])</f>
        <v>#N/A</v>
      </c>
    </row>
    <row r="38" customFormat="false" ht="15" hidden="false" customHeight="true" outlineLevel="0" collapsed="false">
      <c r="A38" s="0" t="n">
        <v>34</v>
      </c>
      <c r="C38" s="0" t="s">
        <v>171</v>
      </c>
      <c r="D38" s="0" t="s">
        <v>172</v>
      </c>
      <c r="E38" s="36" t="n">
        <v>1000</v>
      </c>
      <c r="F38" s="36" t="n">
        <v>2000</v>
      </c>
      <c r="G38" s="36" t="n">
        <v>2000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 t="n">
        <v>1500</v>
      </c>
      <c r="S38" s="38" t="e">
        <f aca="false">SUM(tabla18[[#this row],[cumpl profesor]:[rifa]])</f>
        <v>#N/A</v>
      </c>
    </row>
    <row r="39" customFormat="false" ht="15" hidden="false" customHeight="true" outlineLevel="0" collapsed="false">
      <c r="A39" s="0" t="n">
        <v>35</v>
      </c>
      <c r="C39" s="0" t="s">
        <v>173</v>
      </c>
      <c r="D39" s="0" t="s">
        <v>174</v>
      </c>
      <c r="E39" s="36"/>
      <c r="F39" s="36" t="n">
        <v>2000</v>
      </c>
      <c r="G39" s="36" t="n">
        <v>2000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 t="n">
        <v>1000</v>
      </c>
      <c r="S39" s="38" t="e">
        <f aca="false">SUM(tabla18[[#this row],[cumpl profesor]:[rifa]])</f>
        <v>#N/A</v>
      </c>
    </row>
    <row r="40" customFormat="false" ht="15" hidden="false" customHeight="true" outlineLevel="0" collapsed="false">
      <c r="A40" s="0" t="n">
        <v>36</v>
      </c>
      <c r="C40" s="0" t="s">
        <v>175</v>
      </c>
      <c r="D40" s="0" t="s">
        <v>176</v>
      </c>
      <c r="E40" s="36"/>
      <c r="F40" s="36"/>
      <c r="G40" s="36" t="n">
        <v>2000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8" t="e">
        <f aca="false">SUM(tabla18[[#this row],[cumpl profesor]:[rifa]])</f>
        <v>#N/A</v>
      </c>
    </row>
    <row r="41" customFormat="false" ht="15" hidden="false" customHeight="true" outlineLevel="0" collapsed="false">
      <c r="A41" s="0" t="n">
        <v>37</v>
      </c>
      <c r="C41" s="0" t="s">
        <v>177</v>
      </c>
      <c r="E41" s="36"/>
      <c r="F41" s="36"/>
      <c r="G41" s="36" t="n">
        <v>2000</v>
      </c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8" t="e">
        <f aca="false">SUM(tabla18[[#this row],[cumpl profesor]:[rifa]])</f>
        <v>#N/A</v>
      </c>
      <c r="T41" s="41"/>
    </row>
    <row r="42" customFormat="false" ht="15" hidden="false" customHeight="true" outlineLevel="0" collapsed="false">
      <c r="E42" s="38" t="n">
        <f aca="false">SUM(E5:E40)</f>
        <v>30000</v>
      </c>
      <c r="F42" s="38" t="n">
        <f aca="false">SUM(F5:F40)</f>
        <v>58000</v>
      </c>
      <c r="G42" s="38" t="e">
        <f aca="false">SUBTOTAL(109,tabla18[convivencia junio])</f>
        <v>#VALUE!</v>
      </c>
      <c r="H42" s="38" t="n">
        <f aca="false">SUM(H5:H40)</f>
        <v>81000</v>
      </c>
      <c r="I42" s="38" t="n">
        <f aca="false">SUM(I5:I40)</f>
        <v>54000</v>
      </c>
      <c r="J42" s="38" t="n">
        <f aca="false">SUM(J5:J40)</f>
        <v>54000</v>
      </c>
      <c r="K42" s="38" t="n">
        <f aca="false">SUM(K5:K40)</f>
        <v>42000</v>
      </c>
      <c r="L42" s="38" t="n">
        <f aca="false">SUM(L5:L40)</f>
        <v>27000</v>
      </c>
      <c r="M42" s="38" t="n">
        <f aca="false">SUM(M5:M40)</f>
        <v>9000</v>
      </c>
      <c r="N42" s="38" t="n">
        <f aca="false">SUM(N5:N40)</f>
        <v>3000</v>
      </c>
      <c r="O42" s="38" t="n">
        <f aca="false">SUM(O5:O40)</f>
        <v>3000</v>
      </c>
      <c r="P42" s="38" t="n">
        <f aca="false">SUM(P5:P40)</f>
        <v>3000</v>
      </c>
      <c r="Q42" s="38" t="n">
        <f aca="false">SUM(Q5:Q40)</f>
        <v>3000</v>
      </c>
      <c r="R42" s="38" t="n">
        <f aca="false">SUM(R5:R40)</f>
        <v>9500</v>
      </c>
      <c r="S42" s="41" t="e">
        <f aca="false">SUBTOTAL(109,tabla18[total])</f>
        <v>#VALUE!</v>
      </c>
    </row>
    <row r="44" customFormat="false" ht="18.75" hidden="false" customHeight="true" outlineLevel="0" collapsed="false">
      <c r="O44" s="42"/>
      <c r="P44" s="43" t="s">
        <v>191</v>
      </c>
      <c r="R44" s="44"/>
      <c r="S44" s="45" t="e">
        <f aca="false">S42-S45</f>
        <v>#VALUE!</v>
      </c>
    </row>
    <row r="45" customFormat="false" ht="18.75" hidden="false" customHeight="true" outlineLevel="0" collapsed="false">
      <c r="P45" s="43" t="s">
        <v>192</v>
      </c>
      <c r="R45" s="44"/>
      <c r="S45" s="45" t="n">
        <f aca="false">SUM(E20,E21,E24,E29,E31,E32,F5,F12,F13,F14,F17,F18,F19,F20,F21,F24,F25,F27,F28,F29,F31,F32,F33,H9,R27,R28)</f>
        <v>45000</v>
      </c>
    </row>
    <row r="46" customFormat="false" ht="17.25" hidden="false" customHeight="true" outlineLevel="0" collapsed="false">
      <c r="J46" s="46" t="s">
        <v>193</v>
      </c>
      <c r="K46" s="46"/>
      <c r="L46" s="46"/>
      <c r="M46" s="46"/>
      <c r="N46" s="46"/>
      <c r="O46" s="46"/>
      <c r="P46" s="46"/>
      <c r="Q46" s="46"/>
      <c r="R46" s="46"/>
      <c r="S46" s="47" t="e">
        <f aca="false">'caja presidenta'!d3</f>
        <v>#NAME?</v>
      </c>
    </row>
  </sheetData>
  <mergeCells count="3">
    <mergeCell ref="B1:S1"/>
    <mergeCell ref="B2:S2"/>
    <mergeCell ref="J46:R4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11.7"/>
    <col collapsed="false" customWidth="true" hidden="false" outlineLevel="0" max="3" min="3" style="0" width="46.15"/>
    <col collapsed="false" customWidth="true" hidden="false" outlineLevel="0" max="4" min="4" style="0" width="20.58"/>
    <col collapsed="false" customWidth="true" hidden="false" outlineLevel="0" max="5" min="5" style="0" width="19.51"/>
    <col collapsed="false" customWidth="true" hidden="false" outlineLevel="0" max="7" min="6" style="0" width="15.2"/>
    <col collapsed="false" customWidth="true" hidden="false" outlineLevel="0" max="8" min="8" style="0" width="9.95"/>
    <col collapsed="false" customWidth="true" hidden="false" outlineLevel="0" max="9" min="9" style="0" width="8.21"/>
    <col collapsed="false" customWidth="true" hidden="false" outlineLevel="0" max="10" min="10" style="0" width="8.61"/>
    <col collapsed="false" customWidth="true" hidden="false" outlineLevel="0" max="11" min="11" style="0" width="13.18"/>
    <col collapsed="false" customWidth="true" hidden="false" outlineLevel="0" max="12" min="12" style="0" width="9.28"/>
    <col collapsed="false" customWidth="true" hidden="false" outlineLevel="0" max="13" min="13" style="0" width="10.62"/>
    <col collapsed="false" customWidth="true" hidden="false" outlineLevel="0" max="14" min="14" style="0" width="13.86"/>
    <col collapsed="false" customWidth="true" hidden="false" outlineLevel="0" max="15" min="15" style="0" width="11.3"/>
    <col collapsed="false" customWidth="true" hidden="false" outlineLevel="0" max="16" min="16" style="0" width="13.86"/>
    <col collapsed="false" customWidth="true" hidden="false" outlineLevel="0" max="17" min="17" style="0" width="12.65"/>
    <col collapsed="false" customWidth="true" hidden="false" outlineLevel="0" max="18" min="18" style="35" width="9.28"/>
    <col collapsed="false" customWidth="true" hidden="false" outlineLevel="0" max="19" min="19" style="0" width="9.41"/>
  </cols>
  <sheetData>
    <row r="1" customFormat="false" ht="25.5" hidden="false" customHeight="true" outlineLevel="0" collapsed="false">
      <c r="B1" s="48" t="s">
        <v>194</v>
      </c>
      <c r="C1" s="48"/>
      <c r="D1" s="48"/>
      <c r="E1" s="48"/>
      <c r="F1" s="48"/>
      <c r="G1" s="48"/>
      <c r="H1" s="49" t="s">
        <v>181</v>
      </c>
      <c r="I1" s="49"/>
      <c r="J1" s="49"/>
      <c r="K1" s="50" t="e">
        <f aca="false">S45+D54</f>
        <v>#VALUE!</v>
      </c>
      <c r="O1" s="51"/>
      <c r="P1" s="52"/>
    </row>
    <row r="2" customFormat="false" ht="25.5" hidden="false" customHeight="true" outlineLevel="0" collapsed="false">
      <c r="B2" s="53" t="s">
        <v>195</v>
      </c>
      <c r="C2" s="53"/>
      <c r="D2" s="53"/>
      <c r="E2" s="53"/>
      <c r="F2" s="53"/>
      <c r="G2" s="53"/>
      <c r="H2" s="49" t="s">
        <v>182</v>
      </c>
      <c r="I2" s="49"/>
      <c r="J2" s="49"/>
      <c r="K2" s="50" t="e">
        <f aca="false">'egresos tesorero'!f24</f>
        <v>#NAME?</v>
      </c>
      <c r="O2" s="51"/>
      <c r="P2" s="54"/>
    </row>
    <row r="3" customFormat="false" ht="18" hidden="false" customHeight="true" outlineLevel="0" collapsed="false">
      <c r="B3" s="55"/>
      <c r="C3" s="55"/>
      <c r="D3" s="55"/>
      <c r="E3" s="55"/>
      <c r="F3" s="55"/>
      <c r="G3" s="55"/>
      <c r="H3" s="49" t="s">
        <v>196</v>
      </c>
      <c r="I3" s="49"/>
      <c r="J3" s="49"/>
      <c r="K3" s="56" t="e">
        <f aca="false">K1-K2</f>
        <v>#NAME?</v>
      </c>
      <c r="O3" s="51"/>
      <c r="P3" s="57"/>
    </row>
    <row r="4" customFormat="false" ht="15" hidden="false" customHeight="true" outlineLevel="0" collapsed="false">
      <c r="P4" s="58"/>
    </row>
    <row r="5" customFormat="false" ht="15" hidden="false" customHeight="true" outlineLevel="0" collapsed="false">
      <c r="P5" s="58"/>
    </row>
    <row r="6" customFormat="false" ht="15" hidden="false" customHeight="true" outlineLevel="0" collapsed="false"/>
    <row r="7" customFormat="false" ht="15" hidden="false" customHeight="true" outlineLevel="0" collapsed="false">
      <c r="B7" s="0" t="s">
        <v>30</v>
      </c>
      <c r="C7" s="0" t="s">
        <v>63</v>
      </c>
      <c r="D7" s="0" t="s">
        <v>188</v>
      </c>
      <c r="E7" s="0" t="s">
        <v>76</v>
      </c>
      <c r="F7" s="0" t="s">
        <v>189</v>
      </c>
      <c r="G7" s="0" t="s">
        <v>78</v>
      </c>
      <c r="H7" s="0" t="s">
        <v>65</v>
      </c>
      <c r="I7" s="0" t="s">
        <v>66</v>
      </c>
      <c r="J7" s="0" t="s">
        <v>67</v>
      </c>
      <c r="K7" s="0" t="s">
        <v>68</v>
      </c>
      <c r="L7" s="0" t="s">
        <v>69</v>
      </c>
      <c r="M7" s="0" t="s">
        <v>70</v>
      </c>
      <c r="N7" s="0" t="s">
        <v>71</v>
      </c>
      <c r="O7" s="0" t="s">
        <v>72</v>
      </c>
      <c r="P7" s="0" t="s">
        <v>73</v>
      </c>
      <c r="Q7" s="0" t="s">
        <v>74</v>
      </c>
      <c r="R7" s="35" t="s">
        <v>81</v>
      </c>
      <c r="S7" s="35" t="s">
        <v>190</v>
      </c>
    </row>
    <row r="8" customFormat="false" ht="15" hidden="false" customHeight="true" outlineLevel="0" collapsed="false">
      <c r="A8" s="0" t="n">
        <v>1</v>
      </c>
      <c r="B8" s="0" t="s">
        <v>86</v>
      </c>
      <c r="C8" s="0" t="s">
        <v>87</v>
      </c>
      <c r="D8" s="0" t="s">
        <v>88</v>
      </c>
      <c r="E8" s="36" t="n">
        <v>1000</v>
      </c>
      <c r="F8" s="37"/>
      <c r="G8" s="36"/>
      <c r="H8" s="36" t="n">
        <v>3000</v>
      </c>
      <c r="I8" s="36" t="n">
        <v>3000</v>
      </c>
      <c r="J8" s="36" t="n">
        <v>3000</v>
      </c>
      <c r="K8" s="36" t="n">
        <v>3000</v>
      </c>
      <c r="L8" s="36" t="n">
        <v>3000</v>
      </c>
      <c r="M8" s="36"/>
      <c r="N8" s="36"/>
      <c r="O8" s="36"/>
      <c r="P8" s="36"/>
      <c r="Q8" s="36"/>
      <c r="R8" s="36"/>
      <c r="S8" s="38" t="e">
        <f aca="false">SUM(tabla1[[#this row],[cumpl profesor]:[rifa]])</f>
        <v>#N/A</v>
      </c>
    </row>
    <row r="9" customFormat="false" ht="15" hidden="false" customHeight="true" outlineLevel="0" collapsed="false">
      <c r="A9" s="0" t="n">
        <v>2</v>
      </c>
      <c r="B9" s="0" t="s">
        <v>89</v>
      </c>
      <c r="C9" s="0" t="s">
        <v>90</v>
      </c>
      <c r="D9" s="0" t="s">
        <v>91</v>
      </c>
      <c r="E9" s="36" t="n">
        <v>1000</v>
      </c>
      <c r="F9" s="36"/>
      <c r="G9" s="36" t="n">
        <v>2000</v>
      </c>
      <c r="H9" s="36" t="n">
        <v>3000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8" t="e">
        <f aca="false">SUM(tabla1[[#this row],[cumpl profesor]:[rifa]])</f>
        <v>#N/A</v>
      </c>
    </row>
    <row r="10" customFormat="false" ht="15" hidden="false" customHeight="true" outlineLevel="0" collapsed="false">
      <c r="A10" s="0" t="n">
        <v>3</v>
      </c>
      <c r="B10" s="0" t="s">
        <v>92</v>
      </c>
      <c r="C10" s="0" t="s">
        <v>93</v>
      </c>
      <c r="D10" s="0" t="s">
        <v>94</v>
      </c>
      <c r="E10" s="36" t="n">
        <v>1000</v>
      </c>
      <c r="F10" s="36" t="n">
        <v>2000</v>
      </c>
      <c r="G10" s="36" t="n">
        <v>2000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 t="n">
        <v>1000</v>
      </c>
      <c r="S10" s="38" t="e">
        <f aca="false">SUM(tabla1[[#this row],[cumpl profesor]:[rifa]])</f>
        <v>#N/A</v>
      </c>
    </row>
    <row r="11" customFormat="false" ht="15" hidden="false" customHeight="true" outlineLevel="0" collapsed="false">
      <c r="A11" s="0" t="n">
        <v>4</v>
      </c>
      <c r="B11" s="0" t="s">
        <v>95</v>
      </c>
      <c r="C11" s="0" t="s">
        <v>96</v>
      </c>
      <c r="D11" s="0" t="s">
        <v>97</v>
      </c>
      <c r="E11" s="36" t="n">
        <v>1000</v>
      </c>
      <c r="F11" s="36" t="n">
        <v>2000</v>
      </c>
      <c r="G11" s="36" t="n">
        <v>2000</v>
      </c>
      <c r="H11" s="36" t="n">
        <v>3000</v>
      </c>
      <c r="I11" s="36" t="n">
        <v>3000</v>
      </c>
      <c r="J11" s="36" t="n">
        <v>3000</v>
      </c>
      <c r="K11" s="36"/>
      <c r="L11" s="36"/>
      <c r="M11" s="36"/>
      <c r="N11" s="36"/>
      <c r="O11" s="36"/>
      <c r="P11" s="36"/>
      <c r="Q11" s="36"/>
      <c r="R11" s="36"/>
      <c r="S11" s="38" t="e">
        <f aca="false">SUM(tabla1[[#this row],[cumpl profesor]:[rifa]])</f>
        <v>#N/A</v>
      </c>
    </row>
    <row r="12" customFormat="false" ht="15" hidden="false" customHeight="true" outlineLevel="0" collapsed="false">
      <c r="C12" s="0" t="s">
        <v>98</v>
      </c>
      <c r="E12" s="36"/>
      <c r="F12" s="36"/>
      <c r="G12" s="36"/>
      <c r="H12" s="37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8" t="e">
        <f aca="false">SUM(tabla1[[#this row],[cumpl profesor]:[rifa]])</f>
        <v>#N/A</v>
      </c>
    </row>
    <row r="13" customFormat="false" ht="15" hidden="false" customHeight="true" outlineLevel="0" collapsed="false">
      <c r="A13" s="0" t="n">
        <v>6</v>
      </c>
      <c r="B13" s="0" t="s">
        <v>99</v>
      </c>
      <c r="C13" s="0" t="s">
        <v>100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8" t="e">
        <f aca="false">SUM(tabla1[[#this row],[cumpl profesor]:[rifa]])</f>
        <v>#N/A</v>
      </c>
    </row>
    <row r="14" customFormat="false" ht="15" hidden="false" customHeight="true" outlineLevel="0" collapsed="false">
      <c r="A14" s="0" t="n">
        <v>7</v>
      </c>
      <c r="B14" s="39" t="s">
        <v>101</v>
      </c>
      <c r="C14" s="0" t="s">
        <v>102</v>
      </c>
      <c r="E14" s="36" t="n">
        <v>1000</v>
      </c>
      <c r="F14" s="36"/>
      <c r="G14" s="36" t="n">
        <v>2000</v>
      </c>
      <c r="H14" s="36" t="n">
        <v>3000</v>
      </c>
      <c r="I14" s="36" t="n">
        <v>3000</v>
      </c>
      <c r="J14" s="36" t="n">
        <v>3000</v>
      </c>
      <c r="K14" s="36"/>
      <c r="L14" s="36"/>
      <c r="M14" s="36"/>
      <c r="N14" s="36"/>
      <c r="O14" s="36"/>
      <c r="P14" s="36"/>
      <c r="Q14" s="36"/>
      <c r="R14" s="36"/>
      <c r="S14" s="38" t="e">
        <f aca="false">SUM(tabla1[[#this row],[cumpl profesor]:[rifa]])</f>
        <v>#N/A</v>
      </c>
    </row>
    <row r="15" customFormat="false" ht="15" hidden="false" customHeight="true" outlineLevel="0" collapsed="false">
      <c r="A15" s="0" t="n">
        <v>8</v>
      </c>
      <c r="B15" s="0" t="s">
        <v>103</v>
      </c>
      <c r="C15" s="0" t="s">
        <v>104</v>
      </c>
      <c r="D15" s="0" t="s">
        <v>105</v>
      </c>
      <c r="E15" s="36" t="n">
        <v>1000</v>
      </c>
      <c r="F15" s="37"/>
      <c r="G15" s="36" t="n">
        <v>2000</v>
      </c>
      <c r="H15" s="36" t="n">
        <v>3000</v>
      </c>
      <c r="I15" s="36" t="n">
        <v>3000</v>
      </c>
      <c r="J15" s="36" t="n">
        <v>3000</v>
      </c>
      <c r="K15" s="36" t="n">
        <v>3000</v>
      </c>
      <c r="L15" s="36" t="n">
        <v>3000</v>
      </c>
      <c r="M15" s="36"/>
      <c r="N15" s="36"/>
      <c r="O15" s="36"/>
      <c r="P15" s="36"/>
      <c r="Q15" s="36"/>
      <c r="R15" s="36"/>
      <c r="S15" s="38" t="e">
        <f aca="false">SUM(tabla1[[#this row],[cumpl profesor]:[rifa]])</f>
        <v>#N/A</v>
      </c>
    </row>
    <row r="16" customFormat="false" ht="15" hidden="false" customHeight="true" outlineLevel="0" collapsed="false">
      <c r="A16" s="0" t="n">
        <v>9</v>
      </c>
      <c r="B16" s="0" t="s">
        <v>106</v>
      </c>
      <c r="C16" s="0" t="s">
        <v>107</v>
      </c>
      <c r="E16" s="36" t="n">
        <v>1000</v>
      </c>
      <c r="F16" s="37"/>
      <c r="G16" s="36" t="n">
        <v>2000</v>
      </c>
      <c r="H16" s="36" t="n">
        <v>3000</v>
      </c>
      <c r="I16" s="36" t="n">
        <v>3000</v>
      </c>
      <c r="J16" s="36" t="n">
        <v>3000</v>
      </c>
      <c r="K16" s="36" t="n">
        <v>3000</v>
      </c>
      <c r="L16" s="36"/>
      <c r="M16" s="36"/>
      <c r="N16" s="36"/>
      <c r="O16" s="36"/>
      <c r="P16" s="36"/>
      <c r="Q16" s="36"/>
      <c r="R16" s="36"/>
      <c r="S16" s="38" t="e">
        <f aca="false">SUM(tabla1[[#this row],[cumpl profesor]:[rifa]])</f>
        <v>#N/A</v>
      </c>
    </row>
    <row r="17" customFormat="false" ht="15" hidden="false" customHeight="true" outlineLevel="0" collapsed="false">
      <c r="A17" s="0" t="n">
        <v>10</v>
      </c>
      <c r="B17" s="0" t="s">
        <v>108</v>
      </c>
      <c r="C17" s="0" t="s">
        <v>109</v>
      </c>
      <c r="E17" s="36" t="n">
        <v>1000</v>
      </c>
      <c r="F17" s="37"/>
      <c r="G17" s="36" t="n">
        <v>2000</v>
      </c>
      <c r="H17" s="36" t="n">
        <v>3000</v>
      </c>
      <c r="I17" s="36" t="n">
        <v>3000</v>
      </c>
      <c r="J17" s="36" t="n">
        <v>3000</v>
      </c>
      <c r="K17" s="36" t="n">
        <v>3000</v>
      </c>
      <c r="L17" s="36"/>
      <c r="M17" s="36"/>
      <c r="N17" s="36"/>
      <c r="O17" s="36"/>
      <c r="P17" s="36"/>
      <c r="Q17" s="36"/>
      <c r="R17" s="36"/>
      <c r="S17" s="38" t="e">
        <f aca="false">SUM(tabla1[[#this row],[cumpl profesor]:[rifa]])</f>
        <v>#N/A</v>
      </c>
    </row>
    <row r="18" customFormat="false" ht="15" hidden="false" customHeight="true" outlineLevel="0" collapsed="false">
      <c r="A18" s="0" t="n">
        <v>11</v>
      </c>
      <c r="B18" s="0" t="s">
        <v>110</v>
      </c>
      <c r="C18" s="0" t="s">
        <v>111</v>
      </c>
      <c r="D18" s="0" t="s">
        <v>112</v>
      </c>
      <c r="E18" s="36" t="n">
        <v>1000</v>
      </c>
      <c r="F18" s="36" t="n">
        <v>2000</v>
      </c>
      <c r="G18" s="36" t="n">
        <v>2000</v>
      </c>
      <c r="H18" s="36" t="n">
        <v>3000</v>
      </c>
      <c r="I18" s="36" t="n">
        <v>3000</v>
      </c>
      <c r="J18" s="36" t="n">
        <v>3000</v>
      </c>
      <c r="K18" s="36" t="n">
        <v>3000</v>
      </c>
      <c r="L18" s="36" t="n">
        <v>3000</v>
      </c>
      <c r="M18" s="36"/>
      <c r="N18" s="36"/>
      <c r="O18" s="36"/>
      <c r="P18" s="36"/>
      <c r="Q18" s="36"/>
      <c r="R18" s="36" t="n">
        <v>1000</v>
      </c>
      <c r="S18" s="38" t="e">
        <f aca="false">SUM(tabla1[[#this row],[cumpl profesor]:[rifa]])</f>
        <v>#N/A</v>
      </c>
    </row>
    <row r="19" customFormat="false" ht="15" hidden="false" customHeight="true" outlineLevel="0" collapsed="false">
      <c r="A19" s="0" t="n">
        <v>12</v>
      </c>
      <c r="B19" s="0" t="s">
        <v>113</v>
      </c>
      <c r="C19" s="0" t="s">
        <v>114</v>
      </c>
      <c r="D19" s="0" t="s">
        <v>115</v>
      </c>
      <c r="E19" s="36" t="n">
        <v>1000</v>
      </c>
      <c r="F19" s="36" t="n">
        <v>2000</v>
      </c>
      <c r="G19" s="36"/>
      <c r="H19" s="36" t="n">
        <v>3000</v>
      </c>
      <c r="I19" s="36" t="n">
        <v>3000</v>
      </c>
      <c r="J19" s="36" t="n">
        <v>3000</v>
      </c>
      <c r="K19" s="36" t="n">
        <v>3000</v>
      </c>
      <c r="L19" s="36" t="n">
        <v>3000</v>
      </c>
      <c r="M19" s="36" t="n">
        <v>3000</v>
      </c>
      <c r="N19" s="36"/>
      <c r="O19" s="36"/>
      <c r="P19" s="36"/>
      <c r="Q19" s="36"/>
      <c r="R19" s="36"/>
      <c r="S19" s="38" t="e">
        <f aca="false">SUM(tabla1[[#this row],[cumpl profesor]:[rifa]])</f>
        <v>#N/A</v>
      </c>
    </row>
    <row r="20" customFormat="false" ht="15" hidden="false" customHeight="true" outlineLevel="0" collapsed="false">
      <c r="A20" s="0" t="n">
        <v>13</v>
      </c>
      <c r="B20" s="0" t="s">
        <v>116</v>
      </c>
      <c r="C20" s="0" t="s">
        <v>117</v>
      </c>
      <c r="D20" s="0" t="s">
        <v>118</v>
      </c>
      <c r="E20" s="36" t="n">
        <v>1000</v>
      </c>
      <c r="F20" s="37"/>
      <c r="G20" s="36" t="n">
        <v>2000</v>
      </c>
      <c r="H20" s="36" t="n">
        <v>3000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8" t="e">
        <f aca="false">SUM(tabla1[[#this row],[cumpl profesor]:[rifa]])</f>
        <v>#N/A</v>
      </c>
    </row>
    <row r="21" customFormat="false" ht="15" hidden="false" customHeight="true" outlineLevel="0" collapsed="false">
      <c r="A21" s="0" t="n">
        <v>14</v>
      </c>
      <c r="B21" s="0" t="s">
        <v>119</v>
      </c>
      <c r="C21" s="0" t="s">
        <v>120</v>
      </c>
      <c r="D21" s="0" t="s">
        <v>118</v>
      </c>
      <c r="E21" s="36" t="n">
        <v>1000</v>
      </c>
      <c r="F21" s="37"/>
      <c r="G21" s="36" t="n">
        <v>2000</v>
      </c>
      <c r="H21" s="36" t="n">
        <v>3000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8" t="e">
        <f aca="false">SUM(tabla1[[#this row],[cumpl profesor]:[rifa]])</f>
        <v>#N/A</v>
      </c>
    </row>
    <row r="22" customFormat="false" ht="15" hidden="false" customHeight="true" outlineLevel="0" collapsed="false">
      <c r="A22" s="0" t="n">
        <v>15</v>
      </c>
      <c r="B22" s="0" t="s">
        <v>121</v>
      </c>
      <c r="C22" s="0" t="s">
        <v>122</v>
      </c>
      <c r="D22" s="0" t="s">
        <v>123</v>
      </c>
      <c r="E22" s="36" t="n">
        <v>1000</v>
      </c>
      <c r="F22" s="37"/>
      <c r="G22" s="36" t="n">
        <v>2000</v>
      </c>
      <c r="H22" s="36" t="n">
        <v>3000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8" t="e">
        <f aca="false">SUM(tabla1[[#this row],[cumpl profesor]:[rifa]])</f>
        <v>#N/A</v>
      </c>
    </row>
    <row r="23" customFormat="false" ht="15" hidden="false" customHeight="true" outlineLevel="0" collapsed="false">
      <c r="A23" s="0" t="n">
        <v>16</v>
      </c>
      <c r="B23" s="0" t="s">
        <v>124</v>
      </c>
      <c r="C23" s="0" t="s">
        <v>125</v>
      </c>
      <c r="E23" s="37"/>
      <c r="F23" s="37"/>
      <c r="G23" s="36" t="n">
        <v>2000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8" t="e">
        <f aca="false">SUM(tabla1[[#this row],[cumpl profesor]:[rifa]])</f>
        <v>#N/A</v>
      </c>
    </row>
    <row r="24" customFormat="false" ht="15" hidden="false" customHeight="true" outlineLevel="0" collapsed="false">
      <c r="A24" s="0" t="n">
        <v>17</v>
      </c>
      <c r="B24" s="0" t="s">
        <v>126</v>
      </c>
      <c r="C24" s="0" t="s">
        <v>127</v>
      </c>
      <c r="D24" s="0" t="s">
        <v>128</v>
      </c>
      <c r="E24" s="37"/>
      <c r="F24" s="37"/>
      <c r="G24" s="36" t="n">
        <v>2000</v>
      </c>
      <c r="H24" s="36" t="n">
        <v>3000</v>
      </c>
      <c r="I24" s="36" t="n">
        <v>3000</v>
      </c>
      <c r="J24" s="36" t="n">
        <v>3000</v>
      </c>
      <c r="K24" s="36" t="n">
        <v>3000</v>
      </c>
      <c r="L24" s="36" t="n">
        <v>3000</v>
      </c>
      <c r="M24" s="36"/>
      <c r="N24" s="36"/>
      <c r="O24" s="36"/>
      <c r="P24" s="36"/>
      <c r="Q24" s="36"/>
      <c r="R24" s="36"/>
      <c r="S24" s="38" t="e">
        <f aca="false">SUM(tabla1[[#this row],[cumpl profesor]:[rifa]])</f>
        <v>#N/A</v>
      </c>
    </row>
    <row r="25" customFormat="false" ht="15" hidden="false" customHeight="true" outlineLevel="0" collapsed="false">
      <c r="A25" s="0" t="n">
        <v>18</v>
      </c>
      <c r="B25" s="0" t="s">
        <v>129</v>
      </c>
      <c r="C25" s="0" t="s">
        <v>130</v>
      </c>
      <c r="D25" s="0" t="s">
        <v>131</v>
      </c>
      <c r="E25" s="36" t="n">
        <v>1000</v>
      </c>
      <c r="F25" s="36" t="n">
        <v>2000</v>
      </c>
      <c r="G25" s="36" t="n">
        <v>2000</v>
      </c>
      <c r="H25" s="36" t="n">
        <v>3000</v>
      </c>
      <c r="I25" s="36"/>
      <c r="J25" s="36"/>
      <c r="K25" s="36"/>
      <c r="L25" s="36"/>
      <c r="M25" s="36"/>
      <c r="N25" s="36"/>
      <c r="O25" s="36"/>
      <c r="P25" s="36"/>
      <c r="Q25" s="36"/>
      <c r="R25" s="36" t="n">
        <v>1000</v>
      </c>
      <c r="S25" s="38" t="e">
        <f aca="false">SUM(tabla1[[#this row],[cumpl profesor]:[rifa]])</f>
        <v>#N/A</v>
      </c>
    </row>
    <row r="26" customFormat="false" ht="15" hidden="false" customHeight="true" outlineLevel="0" collapsed="false">
      <c r="A26" s="0" t="n">
        <v>19</v>
      </c>
      <c r="B26" s="0" t="s">
        <v>132</v>
      </c>
      <c r="C26" s="0" t="s">
        <v>133</v>
      </c>
      <c r="D26" s="0" t="s">
        <v>134</v>
      </c>
      <c r="E26" s="36" t="n">
        <v>1000</v>
      </c>
      <c r="F26" s="36" t="n">
        <v>2000</v>
      </c>
      <c r="G26" s="36" t="n">
        <v>2000</v>
      </c>
      <c r="H26" s="36" t="n">
        <v>3000</v>
      </c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8" t="e">
        <f aca="false">SUM(tabla1[[#this row],[cumpl profesor]:[rifa]])</f>
        <v>#N/A</v>
      </c>
    </row>
    <row r="27" customFormat="false" ht="15" hidden="false" customHeight="true" outlineLevel="0" collapsed="false">
      <c r="A27" s="0" t="n">
        <v>20</v>
      </c>
      <c r="B27" s="0" t="s">
        <v>135</v>
      </c>
      <c r="C27" s="0" t="s">
        <v>136</v>
      </c>
      <c r="D27" s="0" t="s">
        <v>137</v>
      </c>
      <c r="E27" s="37"/>
      <c r="F27" s="37"/>
      <c r="G27" s="36" t="n">
        <v>2000</v>
      </c>
      <c r="H27" s="36" t="n">
        <v>3000</v>
      </c>
      <c r="I27" s="36" t="n">
        <v>3000</v>
      </c>
      <c r="J27" s="36" t="n">
        <v>3000</v>
      </c>
      <c r="K27" s="36"/>
      <c r="L27" s="36"/>
      <c r="M27" s="36"/>
      <c r="N27" s="36"/>
      <c r="O27" s="36"/>
      <c r="P27" s="36"/>
      <c r="Q27" s="36"/>
      <c r="R27" s="36"/>
      <c r="S27" s="38" t="e">
        <f aca="false">SUM(tabla1[[#this row],[cumpl profesor]:[rifa]])</f>
        <v>#N/A</v>
      </c>
    </row>
    <row r="28" customFormat="false" ht="15" hidden="false" customHeight="true" outlineLevel="0" collapsed="false">
      <c r="A28" s="0" t="n">
        <v>21</v>
      </c>
      <c r="B28" s="0" t="s">
        <v>138</v>
      </c>
      <c r="C28" s="0" t="s">
        <v>139</v>
      </c>
      <c r="D28" s="0" t="s">
        <v>140</v>
      </c>
      <c r="E28" s="36" t="n">
        <v>1000</v>
      </c>
      <c r="F28" s="37"/>
      <c r="G28" s="36" t="n">
        <v>2000</v>
      </c>
      <c r="H28" s="36" t="n">
        <v>3000</v>
      </c>
      <c r="I28" s="36" t="n">
        <v>3000</v>
      </c>
      <c r="J28" s="36" t="n">
        <v>3000</v>
      </c>
      <c r="K28" s="36" t="n">
        <v>3000</v>
      </c>
      <c r="L28" s="36"/>
      <c r="M28" s="36"/>
      <c r="N28" s="36"/>
      <c r="O28" s="36"/>
      <c r="P28" s="36"/>
      <c r="Q28" s="36"/>
      <c r="R28" s="36"/>
      <c r="S28" s="38" t="e">
        <f aca="false">SUM(tabla1[[#this row],[cumpl profesor]:[rifa]])</f>
        <v>#N/A</v>
      </c>
    </row>
    <row r="29" customFormat="false" ht="15" hidden="false" customHeight="true" outlineLevel="0" collapsed="false">
      <c r="A29" s="0" t="n">
        <v>22</v>
      </c>
      <c r="B29" s="0" t="s">
        <v>141</v>
      </c>
      <c r="C29" s="0" t="s">
        <v>142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8" t="e">
        <f aca="false">SUM(tabla1[[#this row],[cumpl profesor]:[rifa]])</f>
        <v>#N/A</v>
      </c>
    </row>
    <row r="30" customFormat="false" ht="15" hidden="false" customHeight="true" outlineLevel="0" collapsed="false">
      <c r="A30" s="0" t="n">
        <v>23</v>
      </c>
      <c r="B30" s="0" t="s">
        <v>143</v>
      </c>
      <c r="C30" s="0" t="s">
        <v>144</v>
      </c>
      <c r="D30" s="0" t="s">
        <v>145</v>
      </c>
      <c r="E30" s="36" t="n">
        <v>1000</v>
      </c>
      <c r="F30" s="37"/>
      <c r="G30" s="36" t="n">
        <v>2000</v>
      </c>
      <c r="H30" s="36" t="n">
        <v>3000</v>
      </c>
      <c r="I30" s="36"/>
      <c r="J30" s="36"/>
      <c r="K30" s="36"/>
      <c r="L30" s="36"/>
      <c r="M30" s="36"/>
      <c r="N30" s="36"/>
      <c r="O30" s="36"/>
      <c r="P30" s="36"/>
      <c r="Q30" s="36"/>
      <c r="R30" s="37"/>
      <c r="S30" s="38" t="e">
        <f aca="false">SUM(tabla1[[#this row],[cumpl profesor]:[rifa]])</f>
        <v>#N/A</v>
      </c>
    </row>
    <row r="31" customFormat="false" ht="15" hidden="false" customHeight="true" outlineLevel="0" collapsed="false">
      <c r="A31" s="0" t="n">
        <v>24</v>
      </c>
      <c r="B31" s="0" t="s">
        <v>146</v>
      </c>
      <c r="C31" s="0" t="s">
        <v>147</v>
      </c>
      <c r="D31" s="0" t="s">
        <v>148</v>
      </c>
      <c r="E31" s="36" t="n">
        <v>1000</v>
      </c>
      <c r="F31" s="37"/>
      <c r="G31" s="36" t="n">
        <v>2000</v>
      </c>
      <c r="H31" s="36" t="n">
        <v>3000</v>
      </c>
      <c r="I31" s="36"/>
      <c r="J31" s="36"/>
      <c r="K31" s="36"/>
      <c r="L31" s="36"/>
      <c r="M31" s="36"/>
      <c r="N31" s="36"/>
      <c r="O31" s="36"/>
      <c r="P31" s="36"/>
      <c r="Q31" s="36"/>
      <c r="R31" s="37"/>
      <c r="S31" s="38" t="e">
        <f aca="false">SUM(tabla1[[#this row],[cumpl profesor]:[rifa]])</f>
        <v>#N/A</v>
      </c>
    </row>
    <row r="32" customFormat="false" ht="15" hidden="false" customHeight="true" outlineLevel="0" collapsed="false">
      <c r="A32" s="0" t="n">
        <v>25</v>
      </c>
      <c r="B32" s="0" t="s">
        <v>149</v>
      </c>
      <c r="C32" s="0" t="s">
        <v>150</v>
      </c>
      <c r="D32" s="0" t="s">
        <v>151</v>
      </c>
      <c r="E32" s="37"/>
      <c r="F32" s="37"/>
      <c r="G32" s="36" t="n">
        <v>2000</v>
      </c>
      <c r="H32" s="36" t="n">
        <v>3000</v>
      </c>
      <c r="I32" s="36" t="n">
        <v>3000</v>
      </c>
      <c r="J32" s="40" t="n">
        <v>3000</v>
      </c>
      <c r="K32" s="40" t="n">
        <v>3000</v>
      </c>
      <c r="L32" s="40" t="n">
        <v>3000</v>
      </c>
      <c r="M32" s="36"/>
      <c r="N32" s="36"/>
      <c r="O32" s="36"/>
      <c r="P32" s="36"/>
      <c r="Q32" s="36"/>
      <c r="R32" s="36" t="n">
        <v>1000</v>
      </c>
      <c r="S32" s="38" t="e">
        <f aca="false">SUM(tabla1[[#this row],[cumpl profesor]:[rifa]])</f>
        <v>#N/A</v>
      </c>
    </row>
    <row r="33" customFormat="false" ht="15" hidden="false" customHeight="true" outlineLevel="0" collapsed="false">
      <c r="A33" s="0" t="n">
        <v>26</v>
      </c>
      <c r="B33" s="0" t="s">
        <v>152</v>
      </c>
      <c r="C33" s="0" t="s">
        <v>153</v>
      </c>
      <c r="D33" s="0" t="s">
        <v>154</v>
      </c>
      <c r="E33" s="36" t="n">
        <v>1000</v>
      </c>
      <c r="F33" s="36" t="n">
        <v>2000</v>
      </c>
      <c r="G33" s="36"/>
      <c r="H33" s="36" t="n">
        <v>3000</v>
      </c>
      <c r="I33" s="36" t="n">
        <v>3000</v>
      </c>
      <c r="J33" s="36" t="n">
        <v>3000</v>
      </c>
      <c r="K33" s="36" t="n">
        <v>3000</v>
      </c>
      <c r="L33" s="36" t="n">
        <v>3000</v>
      </c>
      <c r="M33" s="36" t="n">
        <v>3000</v>
      </c>
      <c r="N33" s="36"/>
      <c r="O33" s="36"/>
      <c r="P33" s="36"/>
      <c r="Q33" s="36"/>
      <c r="R33" s="36"/>
      <c r="S33" s="38" t="e">
        <f aca="false">SUM(tabla1[[#this row],[cumpl profesor]:[rifa]])</f>
        <v>#N/A</v>
      </c>
    </row>
    <row r="34" customFormat="false" ht="15" hidden="false" customHeight="true" outlineLevel="0" collapsed="false">
      <c r="A34" s="0" t="n">
        <v>27</v>
      </c>
      <c r="B34" s="0" t="s">
        <v>155</v>
      </c>
      <c r="C34" s="0" t="s">
        <v>156</v>
      </c>
      <c r="D34" s="0" t="s">
        <v>157</v>
      </c>
      <c r="E34" s="37"/>
      <c r="F34" s="37"/>
      <c r="G34" s="36" t="n">
        <v>2000</v>
      </c>
      <c r="H34" s="36" t="n">
        <v>3000</v>
      </c>
      <c r="I34" s="36" t="n">
        <v>3000</v>
      </c>
      <c r="J34" s="36" t="n">
        <v>3000</v>
      </c>
      <c r="K34" s="36" t="n">
        <v>3000</v>
      </c>
      <c r="L34" s="36" t="n">
        <v>3000</v>
      </c>
      <c r="M34" s="36" t="n">
        <v>3000</v>
      </c>
      <c r="N34" s="36" t="n">
        <v>3000</v>
      </c>
      <c r="O34" s="36" t="n">
        <v>3000</v>
      </c>
      <c r="P34" s="36" t="n">
        <v>3000</v>
      </c>
      <c r="Q34" s="36" t="n">
        <v>3000</v>
      </c>
      <c r="R34" s="36"/>
      <c r="S34" s="38" t="e">
        <f aca="false">SUM(tabla1[[#this row],[cumpl profesor]:[rifa]])</f>
        <v>#N/A</v>
      </c>
    </row>
    <row r="35" customFormat="false" ht="15" hidden="false" customHeight="true" outlineLevel="0" collapsed="false">
      <c r="A35" s="0" t="n">
        <v>28</v>
      </c>
      <c r="B35" s="0" t="s">
        <v>158</v>
      </c>
      <c r="C35" s="0" t="s">
        <v>159</v>
      </c>
      <c r="E35" s="37"/>
      <c r="F35" s="37"/>
      <c r="G35" s="36" t="n">
        <v>2000</v>
      </c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8" t="e">
        <f aca="false">SUM(tabla1[[#this row],[cumpl profesor]:[rifa]])</f>
        <v>#N/A</v>
      </c>
    </row>
    <row r="36" customFormat="false" ht="15" hidden="false" customHeight="true" outlineLevel="0" collapsed="false">
      <c r="A36" s="0" t="n">
        <v>29</v>
      </c>
      <c r="B36" s="0" t="s">
        <v>160</v>
      </c>
      <c r="C36" s="0" t="s">
        <v>161</v>
      </c>
      <c r="D36" s="0" t="s">
        <v>162</v>
      </c>
      <c r="E36" s="36" t="n">
        <v>1000</v>
      </c>
      <c r="F36" s="37"/>
      <c r="G36" s="36" t="n">
        <v>2000</v>
      </c>
      <c r="H36" s="36" t="n">
        <v>3000</v>
      </c>
      <c r="I36" s="36" t="n">
        <v>3000</v>
      </c>
      <c r="J36" s="36" t="n">
        <v>3000</v>
      </c>
      <c r="K36" s="36"/>
      <c r="L36" s="36"/>
      <c r="M36" s="36"/>
      <c r="N36" s="36"/>
      <c r="O36" s="36"/>
      <c r="P36" s="36"/>
      <c r="Q36" s="36"/>
      <c r="R36" s="36"/>
      <c r="S36" s="38" t="e">
        <f aca="false">SUM(tabla1[[#this row],[cumpl profesor]:[rifa]])</f>
        <v>#N/A</v>
      </c>
    </row>
    <row r="37" customFormat="false" ht="15" hidden="false" customHeight="true" outlineLevel="0" collapsed="false">
      <c r="A37" s="0" t="n">
        <v>30</v>
      </c>
      <c r="B37" s="0" t="s">
        <v>163</v>
      </c>
      <c r="C37" s="0" t="s">
        <v>164</v>
      </c>
      <c r="D37" s="0" t="s">
        <v>165</v>
      </c>
      <c r="E37" s="36" t="n">
        <v>1000</v>
      </c>
      <c r="F37" s="36" t="n">
        <v>2000</v>
      </c>
      <c r="G37" s="36" t="n">
        <v>2000</v>
      </c>
      <c r="H37" s="36" t="n">
        <v>3000</v>
      </c>
      <c r="I37" s="36" t="n">
        <v>3000</v>
      </c>
      <c r="J37" s="36" t="n">
        <v>3000</v>
      </c>
      <c r="K37" s="36" t="n">
        <v>3000</v>
      </c>
      <c r="L37" s="36" t="n">
        <v>3000</v>
      </c>
      <c r="M37" s="36"/>
      <c r="N37" s="36"/>
      <c r="O37" s="36"/>
      <c r="P37" s="36"/>
      <c r="Q37" s="36"/>
      <c r="R37" s="36"/>
      <c r="S37" s="38" t="e">
        <f aca="false">SUM(tabla1[[#this row],[cumpl profesor]:[rifa]])</f>
        <v>#N/A</v>
      </c>
    </row>
    <row r="38" customFormat="false" ht="15" hidden="false" customHeight="true" outlineLevel="0" collapsed="false">
      <c r="A38" s="0" t="n">
        <v>31</v>
      </c>
      <c r="B38" s="0" t="s">
        <v>166</v>
      </c>
      <c r="C38" s="0" t="s">
        <v>167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8" t="e">
        <f aca="false">SUM(tabla1[[#this row],[cumpl profesor]:[rifa]])</f>
        <v>#N/A</v>
      </c>
    </row>
    <row r="39" customFormat="false" ht="15" hidden="false" customHeight="true" outlineLevel="0" collapsed="false">
      <c r="A39" s="0" t="n">
        <v>32</v>
      </c>
      <c r="C39" s="0" t="s">
        <v>168</v>
      </c>
      <c r="E39" s="36" t="n">
        <v>1000</v>
      </c>
      <c r="F39" s="36" t="n">
        <v>2000</v>
      </c>
      <c r="G39" s="36" t="n">
        <v>2000</v>
      </c>
      <c r="H39" s="36" t="n">
        <v>3000</v>
      </c>
      <c r="I39" s="36" t="n">
        <v>3000</v>
      </c>
      <c r="J39" s="36" t="n">
        <v>3000</v>
      </c>
      <c r="K39" s="36" t="n">
        <v>3000</v>
      </c>
      <c r="L39" s="36"/>
      <c r="M39" s="36"/>
      <c r="N39" s="36"/>
      <c r="O39" s="36"/>
      <c r="P39" s="36"/>
      <c r="Q39" s="36"/>
      <c r="R39" s="36"/>
      <c r="S39" s="38" t="e">
        <f aca="false">SUM(tabla1[[#this row],[cumpl profesor]:[rifa]])</f>
        <v>#N/A</v>
      </c>
    </row>
    <row r="40" customFormat="false" ht="15" hidden="false" customHeight="true" outlineLevel="0" collapsed="false">
      <c r="A40" s="0" t="n">
        <v>33</v>
      </c>
      <c r="C40" s="0" t="s">
        <v>169</v>
      </c>
      <c r="D40" s="0" t="s">
        <v>170</v>
      </c>
      <c r="E40" s="36" t="n">
        <v>1000</v>
      </c>
      <c r="F40" s="36" t="n">
        <v>2000</v>
      </c>
      <c r="G40" s="36"/>
      <c r="H40" s="36" t="n">
        <v>3000</v>
      </c>
      <c r="I40" s="36" t="n">
        <v>3000</v>
      </c>
      <c r="J40" s="36" t="n">
        <v>3000</v>
      </c>
      <c r="K40" s="36" t="n">
        <v>3000</v>
      </c>
      <c r="L40" s="36"/>
      <c r="M40" s="36"/>
      <c r="N40" s="36"/>
      <c r="O40" s="36"/>
      <c r="P40" s="36"/>
      <c r="Q40" s="36"/>
      <c r="R40" s="36" t="n">
        <v>1000</v>
      </c>
      <c r="S40" s="38" t="e">
        <f aca="false">SUM(tabla1[[#this row],[cumpl profesor]:[rifa]])</f>
        <v>#N/A</v>
      </c>
    </row>
    <row r="41" customFormat="false" ht="15" hidden="false" customHeight="true" outlineLevel="0" collapsed="false">
      <c r="A41" s="0" t="n">
        <v>34</v>
      </c>
      <c r="C41" s="0" t="s">
        <v>197</v>
      </c>
      <c r="D41" s="0" t="s">
        <v>172</v>
      </c>
      <c r="E41" s="36" t="n">
        <v>1000</v>
      </c>
      <c r="F41" s="36" t="n">
        <v>2000</v>
      </c>
      <c r="G41" s="36" t="n">
        <v>2000</v>
      </c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 t="n">
        <v>1500</v>
      </c>
      <c r="S41" s="38" t="e">
        <f aca="false">SUM(tabla1[[#this row],[cumpl profesor]:[rifa]])</f>
        <v>#N/A</v>
      </c>
    </row>
    <row r="42" customFormat="false" ht="15" hidden="false" customHeight="true" outlineLevel="0" collapsed="false">
      <c r="A42" s="0" t="n">
        <v>35</v>
      </c>
      <c r="C42" s="0" t="s">
        <v>173</v>
      </c>
      <c r="D42" s="0" t="s">
        <v>174</v>
      </c>
      <c r="E42" s="36"/>
      <c r="F42" s="36" t="n">
        <v>2000</v>
      </c>
      <c r="G42" s="36" t="n">
        <v>2000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 t="n">
        <v>1000</v>
      </c>
      <c r="S42" s="38" t="e">
        <f aca="false">SUM(tabla1[[#this row],[cumpl profesor]:[rifa]])</f>
        <v>#N/A</v>
      </c>
    </row>
    <row r="43" customFormat="false" ht="15" hidden="false" customHeight="true" outlineLevel="0" collapsed="false">
      <c r="A43" s="0" t="n">
        <v>36</v>
      </c>
      <c r="C43" s="0" t="s">
        <v>175</v>
      </c>
      <c r="D43" s="0" t="s">
        <v>176</v>
      </c>
      <c r="E43" s="36"/>
      <c r="F43" s="36"/>
      <c r="G43" s="36" t="n">
        <v>2000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8" t="e">
        <f aca="false">SUM(tabla1[[#this row],[cumpl profesor]:[rifa]])</f>
        <v>#N/A</v>
      </c>
    </row>
    <row r="44" customFormat="false" ht="15" hidden="false" customHeight="true" outlineLevel="0" collapsed="false">
      <c r="A44" s="0" t="n">
        <v>37</v>
      </c>
      <c r="C44" s="0" t="s">
        <v>177</v>
      </c>
      <c r="E44" s="36"/>
      <c r="F44" s="36"/>
      <c r="G44" s="36" t="n">
        <v>2000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8" t="e">
        <f aca="false">SUM(tabla1[[#this row],[cumpl profesor]:[rifa]])</f>
        <v>#N/A</v>
      </c>
      <c r="T44" s="41" t="e">
        <f aca="false">SUM(tabla1[total])</f>
        <v>#VALUE!</v>
      </c>
    </row>
    <row r="45" customFormat="false" ht="15" hidden="false" customHeight="true" outlineLevel="0" collapsed="false">
      <c r="E45" s="38" t="n">
        <f aca="false">SUM(E8:E43)</f>
        <v>24000</v>
      </c>
      <c r="F45" s="38" t="n">
        <f aca="false">SUM(F8:F43)</f>
        <v>24000</v>
      </c>
      <c r="G45" s="38" t="e">
        <f aca="false">SUBTOTAL(109,tabla1[convivencia junio])</f>
        <v>#VALUE!</v>
      </c>
      <c r="H45" s="38" t="n">
        <f aca="false">SUM(H8:H43)</f>
        <v>78000</v>
      </c>
      <c r="I45" s="38" t="n">
        <f aca="false">SUM(I8:I43)</f>
        <v>54000</v>
      </c>
      <c r="J45" s="38" t="n">
        <f aca="false">SUM(J8:J43)</f>
        <v>54000</v>
      </c>
      <c r="K45" s="38" t="n">
        <f aca="false">SUM(K8:K43)</f>
        <v>42000</v>
      </c>
      <c r="L45" s="38" t="n">
        <f aca="false">SUM(L8:L43)</f>
        <v>27000</v>
      </c>
      <c r="M45" s="38" t="n">
        <f aca="false">SUM(M8:M43)</f>
        <v>9000</v>
      </c>
      <c r="N45" s="38" t="n">
        <f aca="false">SUM(N8:N43)</f>
        <v>3000</v>
      </c>
      <c r="O45" s="38" t="n">
        <f aca="false">SUM(O8:O43)</f>
        <v>3000</v>
      </c>
      <c r="P45" s="38" t="n">
        <f aca="false">SUM(P8:P43)</f>
        <v>3000</v>
      </c>
      <c r="Q45" s="38" t="n">
        <f aca="false">SUM(Q8:Q43)</f>
        <v>3000</v>
      </c>
      <c r="R45" s="38" t="n">
        <f aca="false">SUM(R8:R43)</f>
        <v>7500</v>
      </c>
      <c r="S45" s="41" t="e">
        <f aca="false">SUM(E45:R45)</f>
        <v>#VALUE!</v>
      </c>
    </row>
    <row r="46" customFormat="false" ht="15" hidden="false" customHeight="true" outlineLevel="0" collapsed="false"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</row>
    <row r="47" customFormat="false" ht="15" hidden="false" customHeight="true" outlineLevel="0" collapsed="false"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</row>
    <row r="48" customFormat="false" ht="15" hidden="false" customHeight="true" outlineLevel="0" collapsed="false"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</row>
    <row r="49" customFormat="false" ht="15" hidden="false" customHeight="true" outlineLevel="0" collapsed="false"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</row>
    <row r="50" customFormat="false" ht="15" hidden="false" customHeight="true" outlineLevel="0" collapsed="false">
      <c r="L50" s="41"/>
    </row>
    <row r="51" customFormat="false" ht="15" hidden="false" customHeight="true" outlineLevel="0" collapsed="false">
      <c r="B51" s="60" t="s">
        <v>15</v>
      </c>
      <c r="C51" s="60" t="s">
        <v>16</v>
      </c>
      <c r="D51" s="60" t="s">
        <v>18</v>
      </c>
    </row>
    <row r="52" customFormat="false" ht="15" hidden="false" customHeight="true" outlineLevel="0" collapsed="false">
      <c r="B52" s="61" t="n">
        <v>46225</v>
      </c>
      <c r="C52" s="0" t="s">
        <v>198</v>
      </c>
      <c r="D52" s="41" t="n">
        <v>14500</v>
      </c>
    </row>
    <row r="53" customFormat="false" ht="15" hidden="false" customHeight="true" outlineLevel="0" collapsed="false"/>
    <row r="54" customFormat="false" ht="15" hidden="false" customHeight="true" outlineLevel="0" collapsed="false">
      <c r="D54" s="41" t="n">
        <f aca="false">SUM(D52:D53)</f>
        <v>14500</v>
      </c>
    </row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1048576" customFormat="false" ht="15" hidden="false" customHeight="true" outlineLevel="0" collapsed="false"/>
  </sheetData>
  <mergeCells count="5">
    <mergeCell ref="B1:G1"/>
    <mergeCell ref="H1:J1"/>
    <mergeCell ref="B2:G2"/>
    <mergeCell ref="H2:J2"/>
    <mergeCell ref="H3:J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customHeight="true" zeroHeight="false" outlineLevelRow="0" outlineLevelCol="0"/>
  <cols>
    <col collapsed="false" customWidth="true" hidden="false" outlineLevel="0" max="1" min="1" style="0" width="16.01"/>
    <col collapsed="false" customWidth="true" hidden="false" outlineLevel="0" max="2" min="2" style="0" width="11.97"/>
    <col collapsed="false" customWidth="true" hidden="false" outlineLevel="0" max="3" min="3" style="0" width="36.05"/>
    <col collapsed="false" customWidth="true" hidden="false" outlineLevel="0" max="4" min="4" style="0" width="27.85"/>
    <col collapsed="false" customWidth="true" hidden="false" outlineLevel="0" max="5" min="5" style="0" width="19.23"/>
    <col collapsed="false" customWidth="true" hidden="false" outlineLevel="0" max="6" min="6" style="0" width="12.65"/>
  </cols>
  <sheetData>
    <row r="1" customFormat="false" ht="25.5" hidden="false" customHeight="true" outlineLevel="0" collapsed="false">
      <c r="A1" s="33" t="s">
        <v>199</v>
      </c>
      <c r="B1" s="33"/>
      <c r="C1" s="33"/>
      <c r="D1" s="33"/>
      <c r="E1" s="33"/>
      <c r="F1" s="33"/>
    </row>
    <row r="2" customFormat="false" ht="24" hidden="false" customHeight="true" outlineLevel="0" collapsed="false">
      <c r="A2" s="20" t="s">
        <v>200</v>
      </c>
      <c r="B2" s="20"/>
      <c r="C2" s="20"/>
      <c r="D2" s="20"/>
      <c r="E2" s="20"/>
      <c r="F2" s="20"/>
    </row>
    <row r="3" customFormat="false" ht="6" hidden="false" customHeight="true" outlineLevel="0" collapsed="false"/>
    <row r="6" customFormat="false" ht="15" hidden="false" customHeight="true" outlineLevel="0" collapsed="false">
      <c r="A6" s="62" t="s">
        <v>201</v>
      </c>
      <c r="B6" s="62" t="s">
        <v>15</v>
      </c>
      <c r="C6" s="62" t="s">
        <v>16</v>
      </c>
      <c r="D6" s="62" t="s">
        <v>202</v>
      </c>
      <c r="E6" s="62" t="s">
        <v>203</v>
      </c>
      <c r="F6" s="63" t="s">
        <v>18</v>
      </c>
    </row>
    <row r="7" customFormat="false" ht="15" hidden="false" customHeight="true" outlineLevel="0" collapsed="false">
      <c r="A7" s="64"/>
      <c r="B7" s="65" t="n">
        <v>46107</v>
      </c>
      <c r="C7" s="64" t="s">
        <v>204</v>
      </c>
      <c r="D7" s="64" t="s">
        <v>205</v>
      </c>
      <c r="E7" s="64" t="s">
        <v>206</v>
      </c>
      <c r="F7" s="66" t="n">
        <v>21490</v>
      </c>
    </row>
    <row r="8" customFormat="false" ht="15" hidden="false" customHeight="true" outlineLevel="0" collapsed="false">
      <c r="A8" s="64"/>
      <c r="B8" s="65" t="n">
        <v>46107</v>
      </c>
      <c r="C8" s="64" t="s">
        <v>207</v>
      </c>
      <c r="D8" s="64" t="s">
        <v>208</v>
      </c>
      <c r="E8" s="64" t="s">
        <v>209</v>
      </c>
      <c r="F8" s="66" t="n">
        <v>9610</v>
      </c>
    </row>
    <row r="9" customFormat="false" ht="15" hidden="false" customHeight="true" outlineLevel="0" collapsed="false">
      <c r="A9" s="64"/>
      <c r="B9" s="65" t="n">
        <v>46119</v>
      </c>
      <c r="C9" s="64" t="s">
        <v>210</v>
      </c>
      <c r="D9" s="64" t="s">
        <v>211</v>
      </c>
      <c r="E9" s="64" t="s">
        <v>212</v>
      </c>
      <c r="F9" s="66" t="n">
        <v>24990</v>
      </c>
    </row>
    <row r="10" customFormat="false" ht="15" hidden="false" customHeight="true" outlineLevel="0" collapsed="false">
      <c r="A10" s="64"/>
      <c r="B10" s="65" t="n">
        <v>46133</v>
      </c>
      <c r="C10" s="64" t="s">
        <v>213</v>
      </c>
      <c r="D10" s="64" t="s">
        <v>4</v>
      </c>
      <c r="E10" s="67" t="s">
        <v>214</v>
      </c>
      <c r="F10" s="66" t="n">
        <v>10000</v>
      </c>
    </row>
    <row r="11" customFormat="false" ht="15" hidden="false" customHeight="true" outlineLevel="0" collapsed="false">
      <c r="A11" s="64"/>
      <c r="B11" s="65" t="n">
        <v>46170</v>
      </c>
      <c r="C11" s="64" t="s">
        <v>215</v>
      </c>
      <c r="D11" s="64" t="s">
        <v>208</v>
      </c>
      <c r="E11" s="64" t="s">
        <v>216</v>
      </c>
      <c r="F11" s="66" t="n">
        <v>7670</v>
      </c>
    </row>
    <row r="12" customFormat="false" ht="15" hidden="false" customHeight="true" outlineLevel="0" collapsed="false">
      <c r="A12" s="64"/>
      <c r="B12" s="65" t="n">
        <v>46170</v>
      </c>
      <c r="C12" s="64" t="s">
        <v>217</v>
      </c>
      <c r="D12" s="64" t="s">
        <v>218</v>
      </c>
      <c r="E12" s="64" t="s">
        <v>219</v>
      </c>
      <c r="F12" s="66" t="n">
        <v>5540</v>
      </c>
    </row>
    <row r="13" customFormat="false" ht="15" hidden="false" customHeight="true" outlineLevel="0" collapsed="false">
      <c r="A13" s="64"/>
      <c r="B13" s="65" t="n">
        <v>46170</v>
      </c>
      <c r="C13" s="64" t="s">
        <v>220</v>
      </c>
      <c r="D13" s="64" t="s">
        <v>205</v>
      </c>
      <c r="E13" s="64" t="s">
        <v>221</v>
      </c>
      <c r="F13" s="66" t="n">
        <v>9990</v>
      </c>
    </row>
    <row r="14" customFormat="false" ht="15" hidden="false" customHeight="true" outlineLevel="0" collapsed="false">
      <c r="A14" s="64"/>
      <c r="B14" s="65" t="n">
        <v>46170</v>
      </c>
      <c r="C14" s="64" t="s">
        <v>222</v>
      </c>
      <c r="D14" s="64" t="s">
        <v>205</v>
      </c>
      <c r="E14" s="64" t="s">
        <v>223</v>
      </c>
      <c r="F14" s="66" t="n">
        <v>13990</v>
      </c>
    </row>
    <row r="15" customFormat="false" ht="15" hidden="false" customHeight="true" outlineLevel="0" collapsed="false">
      <c r="A15" s="64"/>
      <c r="B15" s="65" t="n">
        <v>46191</v>
      </c>
      <c r="C15" s="64" t="s">
        <v>27</v>
      </c>
      <c r="D15" s="64" t="s">
        <v>208</v>
      </c>
      <c r="E15" s="64" t="n">
        <v>3403993582</v>
      </c>
      <c r="F15" s="66" t="n">
        <v>18550</v>
      </c>
    </row>
    <row r="16" customFormat="false" ht="15" hidden="false" customHeight="true" outlineLevel="0" collapsed="false">
      <c r="A16" s="64"/>
      <c r="B16" s="65" t="n">
        <v>46192</v>
      </c>
      <c r="C16" s="64" t="s">
        <v>24</v>
      </c>
      <c r="D16" s="64" t="s">
        <v>224</v>
      </c>
      <c r="E16" s="64" t="n">
        <v>8000745</v>
      </c>
      <c r="F16" s="66" t="n">
        <v>5000</v>
      </c>
    </row>
    <row r="17" customFormat="false" ht="15" hidden="false" customHeight="true" outlineLevel="0" collapsed="false">
      <c r="A17" s="64"/>
      <c r="B17" s="65" t="n">
        <v>46191</v>
      </c>
      <c r="C17" s="64" t="s">
        <v>225</v>
      </c>
      <c r="D17" s="64" t="s">
        <v>226</v>
      </c>
      <c r="E17" s="64" t="n">
        <v>3196</v>
      </c>
      <c r="F17" s="66" t="n">
        <v>2000</v>
      </c>
    </row>
    <row r="18" customFormat="false" ht="15" hidden="false" customHeight="true" outlineLevel="0" collapsed="false">
      <c r="A18" s="64"/>
      <c r="B18" s="65" t="n">
        <v>46192</v>
      </c>
      <c r="C18" s="64" t="s">
        <v>25</v>
      </c>
      <c r="D18" s="64" t="s">
        <v>226</v>
      </c>
      <c r="E18" s="64" t="n">
        <v>3231</v>
      </c>
      <c r="F18" s="66" t="n">
        <v>10930</v>
      </c>
    </row>
    <row r="19" customFormat="false" ht="15" hidden="false" customHeight="true" outlineLevel="0" collapsed="false">
      <c r="A19" s="64"/>
      <c r="B19" s="65" t="n">
        <v>46192</v>
      </c>
      <c r="C19" s="64" t="s">
        <v>26</v>
      </c>
      <c r="D19" s="64" t="s">
        <v>227</v>
      </c>
      <c r="E19" s="64" t="n">
        <v>53017</v>
      </c>
      <c r="F19" s="66" t="n">
        <v>13040</v>
      </c>
    </row>
    <row r="20" customFormat="false" ht="15" hidden="false" customHeight="true" outlineLevel="0" collapsed="false">
      <c r="A20" s="64" t="s">
        <v>228</v>
      </c>
      <c r="B20" s="65" t="n">
        <v>46225</v>
      </c>
      <c r="C20" s="64" t="s">
        <v>22</v>
      </c>
      <c r="D20" s="64" t="s">
        <v>218</v>
      </c>
      <c r="E20" s="64" t="s">
        <v>229</v>
      </c>
      <c r="F20" s="66" t="n">
        <v>1100</v>
      </c>
    </row>
    <row r="21" customFormat="false" ht="15" hidden="false" customHeight="true" outlineLevel="0" collapsed="false">
      <c r="A21" s="64" t="s">
        <v>80</v>
      </c>
      <c r="B21" s="65" t="n">
        <v>46233</v>
      </c>
      <c r="C21" s="64" t="s">
        <v>21</v>
      </c>
      <c r="D21" s="64" t="s">
        <v>230</v>
      </c>
      <c r="E21" s="64" t="s">
        <v>231</v>
      </c>
      <c r="F21" s="66" t="n">
        <v>25490</v>
      </c>
    </row>
    <row r="22" customFormat="false" ht="15" hidden="false" customHeight="true" outlineLevel="0" collapsed="false">
      <c r="A22" s="68" t="s">
        <v>232</v>
      </c>
      <c r="B22" s="69" t="n">
        <v>46240</v>
      </c>
      <c r="C22" s="68" t="s">
        <v>19</v>
      </c>
      <c r="D22" s="68" t="s">
        <v>218</v>
      </c>
      <c r="E22" s="68" t="s">
        <v>233</v>
      </c>
      <c r="F22" s="70" t="n">
        <v>17330</v>
      </c>
    </row>
    <row r="23" customFormat="false" ht="15" hidden="false" customHeight="true" outlineLevel="0" collapsed="false">
      <c r="A23" s="68" t="s">
        <v>232</v>
      </c>
      <c r="B23" s="69" t="n">
        <v>46209</v>
      </c>
      <c r="C23" s="68" t="s">
        <v>23</v>
      </c>
      <c r="D23" s="68" t="s">
        <v>218</v>
      </c>
      <c r="E23" s="68" t="s">
        <v>234</v>
      </c>
      <c r="F23" s="70" t="n">
        <v>4250</v>
      </c>
    </row>
    <row r="24" customFormat="false" ht="15" hidden="false" customHeight="true" outlineLevel="0" collapsed="false">
      <c r="A24" s="71" t="s">
        <v>235</v>
      </c>
      <c r="B24" s="71"/>
      <c r="C24" s="71"/>
      <c r="D24" s="71"/>
      <c r="E24" s="71"/>
      <c r="F24" s="72" t="e">
        <f aca="false">SUBTOTAL(109,tabla3[monto])</f>
        <v>#VALUE!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customHeight="true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10.89"/>
    <col collapsed="false" customWidth="true" hidden="false" outlineLevel="0" max="3" min="3" style="0" width="46.15"/>
    <col collapsed="false" customWidth="true" hidden="false" outlineLevel="0" max="4" min="4" style="0" width="19.51"/>
    <col collapsed="false" customWidth="true" hidden="false" outlineLevel="0" max="5" min="5" style="0" width="15.2"/>
  </cols>
  <sheetData>
    <row r="1" customFormat="false" ht="25.5" hidden="false" customHeight="true" outlineLevel="0" collapsed="false">
      <c r="C1" s="73" t="s">
        <v>181</v>
      </c>
      <c r="D1" s="74" t="e">
        <f aca="false">H43+tabla133[[#totals],[monto]]</f>
        <v>#N/A</v>
      </c>
      <c r="F1" s="75" t="s">
        <v>236</v>
      </c>
      <c r="G1" s="75"/>
      <c r="H1" s="75"/>
      <c r="I1" s="75"/>
    </row>
    <row r="2" customFormat="false" ht="43.5" hidden="false" customHeight="true" outlineLevel="0" collapsed="false">
      <c r="C2" s="73" t="s">
        <v>182</v>
      </c>
      <c r="D2" s="74" t="e">
        <f aca="false">tabla156[[#totals],[monto]]</f>
        <v>#N/A</v>
      </c>
      <c r="F2" s="20" t="s">
        <v>237</v>
      </c>
      <c r="G2" s="20"/>
      <c r="H2" s="20"/>
      <c r="I2" s="20"/>
    </row>
    <row r="3" customFormat="false" ht="18" hidden="false" customHeight="true" outlineLevel="0" collapsed="false">
      <c r="C3" s="76" t="s">
        <v>238</v>
      </c>
      <c r="D3" s="77" t="e">
        <f aca="false">D1-D2</f>
        <v>#N/A</v>
      </c>
    </row>
    <row r="4" customFormat="false" ht="27.75" hidden="false" customHeight="true" outlineLevel="0" collapsed="false">
      <c r="C4" s="78" t="s">
        <v>239</v>
      </c>
      <c r="D4" s="79" t="s">
        <v>240</v>
      </c>
      <c r="E4" s="79"/>
      <c r="F4" s="79"/>
      <c r="G4" s="79"/>
      <c r="H4" s="79"/>
      <c r="I4" s="79"/>
    </row>
    <row r="5" customFormat="false" ht="15" hidden="false" customHeight="true" outlineLevel="0" collapsed="false">
      <c r="B5" s="0" t="s">
        <v>30</v>
      </c>
      <c r="C5" s="0" t="s">
        <v>63</v>
      </c>
      <c r="D5" s="0" t="s">
        <v>76</v>
      </c>
      <c r="E5" s="0" t="s">
        <v>189</v>
      </c>
      <c r="F5" s="0" t="s">
        <v>65</v>
      </c>
      <c r="G5" s="0" t="s">
        <v>81</v>
      </c>
      <c r="H5" s="35" t="s">
        <v>190</v>
      </c>
    </row>
    <row r="6" customFormat="false" ht="15" hidden="false" customHeight="true" outlineLevel="0" collapsed="false">
      <c r="A6" s="0" t="n">
        <v>1</v>
      </c>
      <c r="B6" s="0" t="s">
        <v>86</v>
      </c>
      <c r="C6" s="0" t="s">
        <v>87</v>
      </c>
      <c r="D6" s="36"/>
      <c r="E6" s="37" t="n">
        <v>2000</v>
      </c>
      <c r="F6" s="36"/>
      <c r="G6" s="36"/>
      <c r="H6" s="38" t="e">
        <f aca="false">SUM(tabla17[[#this row],[cumpl profesor]:[rifa]])</f>
        <v>#N/A</v>
      </c>
    </row>
    <row r="7" customFormat="false" ht="15" hidden="false" customHeight="true" outlineLevel="0" collapsed="false">
      <c r="A7" s="0" t="n">
        <v>2</v>
      </c>
      <c r="B7" s="0" t="s">
        <v>89</v>
      </c>
      <c r="C7" s="0" t="s">
        <v>90</v>
      </c>
      <c r="D7" s="36"/>
      <c r="E7" s="36"/>
      <c r="F7" s="36"/>
      <c r="G7" s="36"/>
      <c r="H7" s="38" t="e">
        <f aca="false">SUM(tabla17[[#this row],[cumpl profesor]:[rifa]])</f>
        <v>#N/A</v>
      </c>
    </row>
    <row r="8" customFormat="false" ht="15" hidden="false" customHeight="true" outlineLevel="0" collapsed="false">
      <c r="A8" s="0" t="n">
        <v>3</v>
      </c>
      <c r="B8" s="0" t="s">
        <v>92</v>
      </c>
      <c r="C8" s="0" t="s">
        <v>93</v>
      </c>
      <c r="D8" s="36"/>
      <c r="E8" s="36"/>
      <c r="F8" s="36"/>
      <c r="G8" s="36"/>
      <c r="H8" s="38" t="e">
        <f aca="false">SUM(tabla17[[#this row],[cumpl profesor]:[rifa]])</f>
        <v>#N/A</v>
      </c>
    </row>
    <row r="9" customFormat="false" ht="15" hidden="false" customHeight="true" outlineLevel="0" collapsed="false">
      <c r="A9" s="0" t="n">
        <v>4</v>
      </c>
      <c r="B9" s="0" t="s">
        <v>95</v>
      </c>
      <c r="C9" s="0" t="s">
        <v>96</v>
      </c>
      <c r="D9" s="36"/>
      <c r="E9" s="36"/>
      <c r="F9" s="36"/>
      <c r="G9" s="36"/>
      <c r="H9" s="38" t="e">
        <f aca="false">SUM(tabla17[[#this row],[cumpl profesor]:[rifa]])</f>
        <v>#N/A</v>
      </c>
    </row>
    <row r="10" customFormat="false" ht="15" hidden="false" customHeight="true" outlineLevel="0" collapsed="false">
      <c r="C10" s="0" t="s">
        <v>98</v>
      </c>
      <c r="D10" s="36"/>
      <c r="E10" s="36"/>
      <c r="F10" s="37" t="n">
        <v>3000</v>
      </c>
      <c r="G10" s="36"/>
      <c r="H10" s="38" t="e">
        <f aca="false">SUM(tabla17[[#this row],[cumpl profesor]:[rifa]])</f>
        <v>#N/A</v>
      </c>
    </row>
    <row r="11" customFormat="false" ht="15" hidden="false" customHeight="true" outlineLevel="0" collapsed="false">
      <c r="A11" s="0" t="n">
        <v>6</v>
      </c>
      <c r="B11" s="0" t="s">
        <v>99</v>
      </c>
      <c r="C11" s="0" t="s">
        <v>100</v>
      </c>
      <c r="D11" s="36"/>
      <c r="E11" s="36"/>
      <c r="F11" s="36"/>
      <c r="G11" s="36"/>
      <c r="H11" s="38" t="e">
        <f aca="false">SUM(tabla17[[#this row],[cumpl profesor]:[rifa]])</f>
        <v>#N/A</v>
      </c>
    </row>
    <row r="12" customFormat="false" ht="15" hidden="false" customHeight="true" outlineLevel="0" collapsed="false">
      <c r="A12" s="0" t="n">
        <v>7</v>
      </c>
      <c r="B12" s="39" t="s">
        <v>101</v>
      </c>
      <c r="C12" s="0" t="s">
        <v>102</v>
      </c>
      <c r="D12" s="36"/>
      <c r="E12" s="36"/>
      <c r="F12" s="36"/>
      <c r="G12" s="36"/>
      <c r="H12" s="38" t="e">
        <f aca="false">SUM(tabla17[[#this row],[cumpl profesor]:[rifa]])</f>
        <v>#N/A</v>
      </c>
    </row>
    <row r="13" customFormat="false" ht="15" hidden="false" customHeight="true" outlineLevel="0" collapsed="false">
      <c r="A13" s="0" t="n">
        <v>8</v>
      </c>
      <c r="B13" s="0" t="s">
        <v>103</v>
      </c>
      <c r="C13" s="0" t="s">
        <v>104</v>
      </c>
      <c r="D13" s="36"/>
      <c r="E13" s="37" t="n">
        <v>2000</v>
      </c>
      <c r="F13" s="36"/>
      <c r="G13" s="36"/>
      <c r="H13" s="38" t="e">
        <f aca="false">SUM(tabla17[[#this row],[cumpl profesor]:[rifa]])</f>
        <v>#N/A</v>
      </c>
    </row>
    <row r="14" customFormat="false" ht="15" hidden="false" customHeight="true" outlineLevel="0" collapsed="false">
      <c r="A14" s="0" t="n">
        <v>9</v>
      </c>
      <c r="B14" s="0" t="s">
        <v>106</v>
      </c>
      <c r="C14" s="0" t="s">
        <v>107</v>
      </c>
      <c r="D14" s="36"/>
      <c r="E14" s="37" t="n">
        <v>2000</v>
      </c>
      <c r="F14" s="36"/>
      <c r="G14" s="36"/>
      <c r="H14" s="38" t="e">
        <f aca="false">SUM(tabla17[[#this row],[cumpl profesor]:[rifa]])</f>
        <v>#N/A</v>
      </c>
    </row>
    <row r="15" customFormat="false" ht="15" hidden="false" customHeight="true" outlineLevel="0" collapsed="false">
      <c r="A15" s="0" t="n">
        <v>10</v>
      </c>
      <c r="B15" s="0" t="s">
        <v>108</v>
      </c>
      <c r="C15" s="0" t="s">
        <v>109</v>
      </c>
      <c r="D15" s="36"/>
      <c r="E15" s="37" t="n">
        <v>2000</v>
      </c>
      <c r="F15" s="36"/>
      <c r="G15" s="36"/>
      <c r="H15" s="38" t="e">
        <f aca="false">SUM(tabla17[[#this row],[cumpl profesor]:[rifa]])</f>
        <v>#N/A</v>
      </c>
    </row>
    <row r="16" customFormat="false" ht="15" hidden="false" customHeight="true" outlineLevel="0" collapsed="false">
      <c r="A16" s="0" t="n">
        <v>11</v>
      </c>
      <c r="B16" s="0" t="s">
        <v>110</v>
      </c>
      <c r="C16" s="0" t="s">
        <v>111</v>
      </c>
      <c r="D16" s="36"/>
      <c r="E16" s="36"/>
      <c r="F16" s="36"/>
      <c r="G16" s="36"/>
      <c r="H16" s="38" t="e">
        <f aca="false">SUM(tabla17[[#this row],[cumpl profesor]:[rifa]])</f>
        <v>#N/A</v>
      </c>
    </row>
    <row r="17" customFormat="false" ht="15" hidden="false" customHeight="true" outlineLevel="0" collapsed="false">
      <c r="A17" s="0" t="n">
        <v>12</v>
      </c>
      <c r="B17" s="0" t="s">
        <v>113</v>
      </c>
      <c r="C17" s="0" t="s">
        <v>114</v>
      </c>
      <c r="D17" s="36"/>
      <c r="E17" s="36"/>
      <c r="F17" s="36"/>
      <c r="G17" s="36"/>
      <c r="H17" s="38" t="e">
        <f aca="false">SUM(tabla17[[#this row],[cumpl profesor]:[rifa]])</f>
        <v>#N/A</v>
      </c>
    </row>
    <row r="18" customFormat="false" ht="15" hidden="false" customHeight="true" outlineLevel="0" collapsed="false">
      <c r="A18" s="0" t="n">
        <v>13</v>
      </c>
      <c r="B18" s="0" t="s">
        <v>116</v>
      </c>
      <c r="C18" s="0" t="s">
        <v>117</v>
      </c>
      <c r="D18" s="36"/>
      <c r="E18" s="37" t="n">
        <v>2000</v>
      </c>
      <c r="F18" s="36"/>
      <c r="G18" s="36"/>
      <c r="H18" s="38" t="e">
        <f aca="false">SUM(tabla17[[#this row],[cumpl profesor]:[rifa]])</f>
        <v>#N/A</v>
      </c>
    </row>
    <row r="19" customFormat="false" ht="15" hidden="false" customHeight="true" outlineLevel="0" collapsed="false">
      <c r="A19" s="0" t="n">
        <v>14</v>
      </c>
      <c r="B19" s="0" t="s">
        <v>119</v>
      </c>
      <c r="C19" s="0" t="s">
        <v>120</v>
      </c>
      <c r="D19" s="36"/>
      <c r="E19" s="37" t="n">
        <v>2000</v>
      </c>
      <c r="F19" s="36"/>
      <c r="G19" s="36"/>
      <c r="H19" s="38" t="e">
        <f aca="false">SUM(tabla17[[#this row],[cumpl profesor]:[rifa]])</f>
        <v>#N/A</v>
      </c>
    </row>
    <row r="20" customFormat="false" ht="15" hidden="false" customHeight="true" outlineLevel="0" collapsed="false">
      <c r="A20" s="0" t="n">
        <v>15</v>
      </c>
      <c r="B20" s="0" t="s">
        <v>121</v>
      </c>
      <c r="C20" s="0" t="s">
        <v>122</v>
      </c>
      <c r="D20" s="36"/>
      <c r="E20" s="37" t="n">
        <v>2000</v>
      </c>
      <c r="F20" s="36"/>
      <c r="G20" s="36"/>
      <c r="H20" s="38" t="e">
        <f aca="false">SUM(tabla17[[#this row],[cumpl profesor]:[rifa]])</f>
        <v>#N/A</v>
      </c>
    </row>
    <row r="21" customFormat="false" ht="15" hidden="false" customHeight="true" outlineLevel="0" collapsed="false">
      <c r="A21" s="0" t="n">
        <v>16</v>
      </c>
      <c r="B21" s="0" t="s">
        <v>124</v>
      </c>
      <c r="C21" s="0" t="s">
        <v>125</v>
      </c>
      <c r="D21" s="37" t="n">
        <v>1000</v>
      </c>
      <c r="E21" s="37" t="n">
        <v>2000</v>
      </c>
      <c r="F21" s="36"/>
      <c r="G21" s="36"/>
      <c r="H21" s="38" t="e">
        <f aca="false">SUM(tabla17[[#this row],[cumpl profesor]:[rifa]])</f>
        <v>#N/A</v>
      </c>
    </row>
    <row r="22" customFormat="false" ht="15" hidden="false" customHeight="true" outlineLevel="0" collapsed="false">
      <c r="A22" s="0" t="n">
        <v>17</v>
      </c>
      <c r="B22" s="0" t="s">
        <v>126</v>
      </c>
      <c r="C22" s="0" t="s">
        <v>127</v>
      </c>
      <c r="D22" s="37" t="n">
        <v>1000</v>
      </c>
      <c r="E22" s="37" t="n">
        <v>2000</v>
      </c>
      <c r="F22" s="36"/>
      <c r="G22" s="36"/>
      <c r="H22" s="38" t="e">
        <f aca="false">SUM(tabla17[[#this row],[cumpl profesor]:[rifa]])</f>
        <v>#N/A</v>
      </c>
    </row>
    <row r="23" customFormat="false" ht="15" hidden="false" customHeight="true" outlineLevel="0" collapsed="false">
      <c r="A23" s="0" t="n">
        <v>18</v>
      </c>
      <c r="B23" s="0" t="s">
        <v>129</v>
      </c>
      <c r="C23" s="0" t="s">
        <v>130</v>
      </c>
      <c r="D23" s="36"/>
      <c r="E23" s="36"/>
      <c r="F23" s="36"/>
      <c r="G23" s="36"/>
      <c r="H23" s="38" t="e">
        <f aca="false">SUM(tabla17[[#this row],[cumpl profesor]:[rifa]])</f>
        <v>#N/A</v>
      </c>
    </row>
    <row r="24" customFormat="false" ht="15" hidden="false" customHeight="true" outlineLevel="0" collapsed="false">
      <c r="A24" s="0" t="n">
        <v>19</v>
      </c>
      <c r="B24" s="0" t="s">
        <v>132</v>
      </c>
      <c r="C24" s="0" t="s">
        <v>133</v>
      </c>
      <c r="D24" s="36"/>
      <c r="E24" s="36"/>
      <c r="F24" s="36"/>
      <c r="G24" s="36"/>
      <c r="H24" s="38" t="e">
        <f aca="false">SUM(tabla17[[#this row],[cumpl profesor]:[rifa]])</f>
        <v>#N/A</v>
      </c>
    </row>
    <row r="25" customFormat="false" ht="15" hidden="false" customHeight="true" outlineLevel="0" collapsed="false">
      <c r="A25" s="0" t="n">
        <v>20</v>
      </c>
      <c r="B25" s="0" t="s">
        <v>135</v>
      </c>
      <c r="C25" s="0" t="s">
        <v>136</v>
      </c>
      <c r="D25" s="37" t="n">
        <v>1000</v>
      </c>
      <c r="E25" s="37" t="n">
        <v>2000</v>
      </c>
      <c r="F25" s="36"/>
      <c r="G25" s="36"/>
      <c r="H25" s="38" t="e">
        <f aca="false">SUM(tabla17[[#this row],[cumpl profesor]:[rifa]])</f>
        <v>#N/A</v>
      </c>
    </row>
    <row r="26" customFormat="false" ht="15" hidden="false" customHeight="true" outlineLevel="0" collapsed="false">
      <c r="A26" s="0" t="n">
        <v>21</v>
      </c>
      <c r="B26" s="0" t="s">
        <v>138</v>
      </c>
      <c r="C26" s="0" t="s">
        <v>139</v>
      </c>
      <c r="D26" s="36"/>
      <c r="E26" s="37" t="n">
        <v>2000</v>
      </c>
      <c r="F26" s="36"/>
      <c r="G26" s="36"/>
      <c r="H26" s="38" t="e">
        <f aca="false">SUM(tabla17[[#this row],[cumpl profesor]:[rifa]])</f>
        <v>#N/A</v>
      </c>
    </row>
    <row r="27" customFormat="false" ht="15" hidden="false" customHeight="true" outlineLevel="0" collapsed="false">
      <c r="A27" s="0" t="n">
        <v>22</v>
      </c>
      <c r="B27" s="0" t="s">
        <v>141</v>
      </c>
      <c r="C27" s="0" t="s">
        <v>142</v>
      </c>
      <c r="D27" s="36"/>
      <c r="E27" s="36"/>
      <c r="F27" s="36"/>
      <c r="G27" s="36"/>
      <c r="H27" s="38" t="e">
        <f aca="false">SUM(tabla17[[#this row],[cumpl profesor]:[rifa]])</f>
        <v>#N/A</v>
      </c>
    </row>
    <row r="28" customFormat="false" ht="15" hidden="false" customHeight="true" outlineLevel="0" collapsed="false">
      <c r="A28" s="0" t="n">
        <v>23</v>
      </c>
      <c r="B28" s="0" t="s">
        <v>143</v>
      </c>
      <c r="C28" s="0" t="s">
        <v>144</v>
      </c>
      <c r="D28" s="36"/>
      <c r="E28" s="37" t="n">
        <v>2000</v>
      </c>
      <c r="F28" s="36"/>
      <c r="G28" s="37" t="n">
        <v>1000</v>
      </c>
      <c r="H28" s="38" t="e">
        <f aca="false">SUM(tabla17[[#this row],[cumpl profesor]:[rifa]])</f>
        <v>#N/A</v>
      </c>
    </row>
    <row r="29" customFormat="false" ht="15" hidden="false" customHeight="true" outlineLevel="0" collapsed="false">
      <c r="A29" s="0" t="n">
        <v>24</v>
      </c>
      <c r="B29" s="0" t="s">
        <v>146</v>
      </c>
      <c r="C29" s="0" t="s">
        <v>147</v>
      </c>
      <c r="D29" s="36"/>
      <c r="E29" s="37" t="n">
        <v>2000</v>
      </c>
      <c r="F29" s="36"/>
      <c r="G29" s="37" t="n">
        <v>1000</v>
      </c>
      <c r="H29" s="38" t="e">
        <f aca="false">SUM(tabla17[[#this row],[cumpl profesor]:[rifa]])</f>
        <v>#N/A</v>
      </c>
    </row>
    <row r="30" customFormat="false" ht="15" hidden="false" customHeight="true" outlineLevel="0" collapsed="false">
      <c r="A30" s="0" t="n">
        <v>25</v>
      </c>
      <c r="B30" s="0" t="s">
        <v>149</v>
      </c>
      <c r="C30" s="0" t="s">
        <v>150</v>
      </c>
      <c r="D30" s="37" t="n">
        <v>1000</v>
      </c>
      <c r="E30" s="37" t="n">
        <v>2000</v>
      </c>
      <c r="F30" s="36"/>
      <c r="G30" s="36"/>
      <c r="H30" s="38" t="e">
        <f aca="false">SUM(tabla17[[#this row],[cumpl profesor]:[rifa]])</f>
        <v>#N/A</v>
      </c>
    </row>
    <row r="31" customFormat="false" ht="15" hidden="false" customHeight="true" outlineLevel="0" collapsed="false">
      <c r="A31" s="0" t="n">
        <v>26</v>
      </c>
      <c r="B31" s="0" t="s">
        <v>152</v>
      </c>
      <c r="C31" s="0" t="s">
        <v>153</v>
      </c>
      <c r="D31" s="36"/>
      <c r="E31" s="36"/>
      <c r="F31" s="36"/>
      <c r="G31" s="36"/>
      <c r="H31" s="38" t="e">
        <f aca="false">SUM(tabla17[[#this row],[cumpl profesor]:[rifa]])</f>
        <v>#N/A</v>
      </c>
    </row>
    <row r="32" customFormat="false" ht="15" hidden="false" customHeight="true" outlineLevel="0" collapsed="false">
      <c r="A32" s="0" t="n">
        <v>27</v>
      </c>
      <c r="B32" s="0" t="s">
        <v>155</v>
      </c>
      <c r="C32" s="0" t="s">
        <v>156</v>
      </c>
      <c r="D32" s="37" t="n">
        <v>1000</v>
      </c>
      <c r="E32" s="37" t="n">
        <v>2000</v>
      </c>
      <c r="F32" s="36"/>
      <c r="G32" s="36"/>
      <c r="H32" s="38" t="e">
        <f aca="false">SUM(tabla17[[#this row],[cumpl profesor]:[rifa]])</f>
        <v>#N/A</v>
      </c>
    </row>
    <row r="33" customFormat="false" ht="15" hidden="false" customHeight="true" outlineLevel="0" collapsed="false">
      <c r="A33" s="0" t="n">
        <v>28</v>
      </c>
      <c r="B33" s="0" t="s">
        <v>158</v>
      </c>
      <c r="C33" s="0" t="s">
        <v>159</v>
      </c>
      <c r="D33" s="37" t="n">
        <v>1000</v>
      </c>
      <c r="E33" s="37" t="n">
        <v>2000</v>
      </c>
      <c r="F33" s="36"/>
      <c r="G33" s="36"/>
      <c r="H33" s="38" t="e">
        <f aca="false">SUM(tabla17[[#this row],[cumpl profesor]:[rifa]])</f>
        <v>#N/A</v>
      </c>
    </row>
    <row r="34" customFormat="false" ht="15" hidden="false" customHeight="true" outlineLevel="0" collapsed="false">
      <c r="A34" s="0" t="n">
        <v>29</v>
      </c>
      <c r="B34" s="0" t="s">
        <v>160</v>
      </c>
      <c r="C34" s="0" t="s">
        <v>161</v>
      </c>
      <c r="D34" s="36"/>
      <c r="E34" s="37" t="n">
        <v>2000</v>
      </c>
      <c r="F34" s="36"/>
      <c r="G34" s="36"/>
      <c r="H34" s="38" t="e">
        <f aca="false">SUM(tabla17[[#this row],[cumpl profesor]:[rifa]])</f>
        <v>#N/A</v>
      </c>
    </row>
    <row r="35" customFormat="false" ht="15" hidden="false" customHeight="true" outlineLevel="0" collapsed="false">
      <c r="A35" s="0" t="n">
        <v>30</v>
      </c>
      <c r="B35" s="0" t="s">
        <v>163</v>
      </c>
      <c r="C35" s="0" t="s">
        <v>164</v>
      </c>
      <c r="D35" s="36"/>
      <c r="E35" s="36"/>
      <c r="F35" s="36"/>
      <c r="G35" s="36"/>
      <c r="H35" s="38" t="e">
        <f aca="false">SUM(tabla17[[#this row],[cumpl profesor]:[rifa]])</f>
        <v>#N/A</v>
      </c>
    </row>
    <row r="36" customFormat="false" ht="15" hidden="false" customHeight="true" outlineLevel="0" collapsed="false">
      <c r="A36" s="0" t="n">
        <v>31</v>
      </c>
      <c r="B36" s="0" t="s">
        <v>166</v>
      </c>
      <c r="C36" s="0" t="s">
        <v>167</v>
      </c>
      <c r="D36" s="36"/>
      <c r="E36" s="36"/>
      <c r="F36" s="36"/>
      <c r="G36" s="36"/>
      <c r="H36" s="38" t="e">
        <f aca="false">SUM(tabla17[[#this row],[cumpl profesor]:[rifa]])</f>
        <v>#N/A</v>
      </c>
    </row>
    <row r="37" customFormat="false" ht="15" hidden="false" customHeight="true" outlineLevel="0" collapsed="false">
      <c r="A37" s="0" t="n">
        <v>32</v>
      </c>
      <c r="C37" s="0" t="s">
        <v>168</v>
      </c>
      <c r="D37" s="36"/>
      <c r="E37" s="36"/>
      <c r="F37" s="36"/>
      <c r="G37" s="36"/>
      <c r="H37" s="38" t="e">
        <f aca="false">SUM(tabla17[[#this row],[cumpl profesor]:[rifa]])</f>
        <v>#N/A</v>
      </c>
    </row>
    <row r="38" customFormat="false" ht="15" hidden="false" customHeight="true" outlineLevel="0" collapsed="false">
      <c r="A38" s="0" t="n">
        <v>33</v>
      </c>
      <c r="C38" s="0" t="s">
        <v>169</v>
      </c>
      <c r="D38" s="36"/>
      <c r="E38" s="36"/>
      <c r="F38" s="36"/>
      <c r="G38" s="36"/>
      <c r="H38" s="38" t="e">
        <f aca="false">SUM(tabla17[[#this row],[cumpl profesor]:[rifa]])</f>
        <v>#N/A</v>
      </c>
    </row>
    <row r="39" customFormat="false" ht="15" hidden="false" customHeight="true" outlineLevel="0" collapsed="false">
      <c r="A39" s="0" t="n">
        <v>34</v>
      </c>
      <c r="C39" s="0" t="s">
        <v>171</v>
      </c>
      <c r="D39" s="36"/>
      <c r="E39" s="36"/>
      <c r="F39" s="36"/>
      <c r="G39" s="36"/>
      <c r="H39" s="38" t="e">
        <f aca="false">SUM(tabla17[[#this row],[cumpl profesor]:[rifa]])</f>
        <v>#N/A</v>
      </c>
    </row>
    <row r="40" customFormat="false" ht="15" hidden="false" customHeight="true" outlineLevel="0" collapsed="false">
      <c r="A40" s="0" t="n">
        <v>35</v>
      </c>
      <c r="C40" s="0" t="s">
        <v>173</v>
      </c>
      <c r="D40" s="36"/>
      <c r="E40" s="36"/>
      <c r="F40" s="36"/>
      <c r="G40" s="36"/>
      <c r="H40" s="38" t="e">
        <f aca="false">SUM(tabla17[[#this row],[cumpl profesor]:[rifa]])</f>
        <v>#N/A</v>
      </c>
    </row>
    <row r="41" customFormat="false" ht="15" hidden="false" customHeight="true" outlineLevel="0" collapsed="false">
      <c r="A41" s="0" t="n">
        <v>36</v>
      </c>
      <c r="C41" s="0" t="s">
        <v>175</v>
      </c>
      <c r="D41" s="36"/>
      <c r="E41" s="36"/>
      <c r="F41" s="36"/>
      <c r="G41" s="36"/>
      <c r="H41" s="38" t="e">
        <f aca="false">SUM(tabla17[[#this row],[cumpl profesor]:[rifa]])</f>
        <v>#N/A</v>
      </c>
    </row>
    <row r="42" customFormat="false" ht="15" hidden="false" customHeight="true" outlineLevel="0" collapsed="false">
      <c r="A42" s="0" t="n">
        <v>37</v>
      </c>
      <c r="C42" s="0" t="s">
        <v>177</v>
      </c>
      <c r="D42" s="36"/>
      <c r="E42" s="36"/>
      <c r="F42" s="36"/>
      <c r="G42" s="36"/>
      <c r="H42" s="38" t="e">
        <f aca="false">SUM(tabla17[[#this row],[cumpl profesor]:[rifa]])</f>
        <v>#N/A</v>
      </c>
      <c r="I42" s="41" t="e">
        <f aca="false">SUM(tabla17[total])</f>
        <v>#VALUE!</v>
      </c>
    </row>
    <row r="43" customFormat="false" ht="15" hidden="false" customHeight="true" outlineLevel="0" collapsed="false">
      <c r="D43" s="38" t="n">
        <f aca="false">SUM(D6:D41)</f>
        <v>6000</v>
      </c>
      <c r="E43" s="38" t="n">
        <f aca="false">SUM(E6:E41)</f>
        <v>34000</v>
      </c>
      <c r="F43" s="38" t="n">
        <f aca="false">SUM(F6:F41)</f>
        <v>3000</v>
      </c>
      <c r="G43" s="38" t="n">
        <f aca="false">SUM(G6:G41)</f>
        <v>2000</v>
      </c>
      <c r="H43" s="41" t="n">
        <f aca="false">SUM(D43:G43)</f>
        <v>45000</v>
      </c>
    </row>
    <row r="47" customFormat="false" ht="18" hidden="false" customHeight="true" outlineLevel="0" collapsed="false">
      <c r="B47" s="80" t="s">
        <v>241</v>
      </c>
      <c r="D47" s="41"/>
      <c r="E47" s="81" t="s">
        <v>242</v>
      </c>
      <c r="F47" s="41"/>
      <c r="G47" s="41"/>
    </row>
    <row r="48" customFormat="false" ht="15" hidden="false" customHeight="true" outlineLevel="0" collapsed="false">
      <c r="B48" s="0" t="s">
        <v>16</v>
      </c>
      <c r="C48" s="0" t="s">
        <v>18</v>
      </c>
      <c r="D48" s="41"/>
      <c r="E48" s="82" t="s">
        <v>15</v>
      </c>
      <c r="F48" s="83" t="s">
        <v>16</v>
      </c>
      <c r="G48" s="83" t="s">
        <v>243</v>
      </c>
      <c r="H48" s="83" t="s">
        <v>203</v>
      </c>
      <c r="I48" s="84" t="s">
        <v>18</v>
      </c>
    </row>
    <row r="49" customFormat="false" ht="15" hidden="false" customHeight="true" outlineLevel="0" collapsed="false">
      <c r="B49" s="0" t="s">
        <v>81</v>
      </c>
      <c r="C49" s="41" t="n">
        <v>15000</v>
      </c>
      <c r="E49" s="85" t="n">
        <v>46107</v>
      </c>
      <c r="F49" s="86" t="s">
        <v>244</v>
      </c>
      <c r="G49" s="86" t="s">
        <v>218</v>
      </c>
      <c r="H49" s="86" t="s">
        <v>245</v>
      </c>
      <c r="I49" s="87" t="n">
        <v>6920</v>
      </c>
    </row>
    <row r="50" customFormat="false" ht="15" hidden="false" customHeight="true" outlineLevel="0" collapsed="false">
      <c r="B50" s="0" t="s">
        <v>246</v>
      </c>
      <c r="C50" s="41" t="n">
        <v>36000</v>
      </c>
      <c r="E50" s="85" t="n">
        <v>46147</v>
      </c>
      <c r="F50" s="86" t="s">
        <v>247</v>
      </c>
      <c r="G50" s="86" t="s">
        <v>248</v>
      </c>
      <c r="H50" s="86" t="s">
        <v>249</v>
      </c>
      <c r="I50" s="87" t="n">
        <v>36810</v>
      </c>
    </row>
    <row r="51" customFormat="false" ht="15" hidden="false" customHeight="true" outlineLevel="0" collapsed="false">
      <c r="B51" s="0" t="s">
        <v>250</v>
      </c>
      <c r="C51" s="41" t="n">
        <v>10000</v>
      </c>
      <c r="E51" s="88" t="n">
        <v>46147</v>
      </c>
      <c r="F51" s="89" t="s">
        <v>251</v>
      </c>
      <c r="G51" s="90" t="s">
        <v>208</v>
      </c>
      <c r="H51" s="90" t="s">
        <v>252</v>
      </c>
      <c r="I51" s="91" t="n">
        <v>30962</v>
      </c>
    </row>
    <row r="52" customFormat="false" ht="15" hidden="false" customHeight="true" outlineLevel="0" collapsed="false">
      <c r="B52" s="0" t="s">
        <v>235</v>
      </c>
      <c r="C52" s="41" t="e">
        <f aca="false">SUBTOTAL(109,tabla133[monto])</f>
        <v>#VALUE!</v>
      </c>
      <c r="E52" s="92" t="s">
        <v>235</v>
      </c>
      <c r="F52" s="93"/>
      <c r="G52" s="90"/>
      <c r="H52" s="90"/>
      <c r="I52" s="94" t="e">
        <f aca="false">SUBTOTAL(109,tabla156[monto])</f>
        <v>#VALUE!</v>
      </c>
    </row>
    <row r="53" customFormat="false" ht="15" hidden="false" customHeight="true" outlineLevel="0" collapsed="false">
      <c r="B53" s="95"/>
    </row>
    <row r="54" customFormat="false" ht="15" hidden="false" customHeight="true" outlineLevel="0" collapsed="false"/>
    <row r="55" customFormat="false" ht="15" hidden="false" customHeight="true" outlineLevel="0" collapsed="false"/>
  </sheetData>
  <mergeCells count="3">
    <mergeCell ref="F1:I1"/>
    <mergeCell ref="F2:I2"/>
    <mergeCell ref="D4:I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27"/>
  </cols>
  <sheetData>
    <row r="1" customFormat="false" ht="15" hidden="false" customHeight="false" outlineLevel="0" collapsed="false">
      <c r="A1" s="96" t="s">
        <v>253</v>
      </c>
      <c r="B1" s="96" t="s">
        <v>254</v>
      </c>
      <c r="C1" s="96" t="s">
        <v>255</v>
      </c>
      <c r="D1" s="96" t="s">
        <v>256</v>
      </c>
      <c r="E1" s="96" t="s">
        <v>257</v>
      </c>
      <c r="F1" s="96" t="s">
        <v>258</v>
      </c>
      <c r="G1" s="96" t="s">
        <v>259</v>
      </c>
    </row>
    <row r="2" customFormat="false" ht="15" hidden="false" customHeight="false" outlineLevel="0" collapsed="false">
      <c r="A2" s="0" t="s">
        <v>40</v>
      </c>
      <c r="B2" s="0" t="s">
        <v>260</v>
      </c>
      <c r="C2" s="0" t="s">
        <v>261</v>
      </c>
      <c r="D2" s="0" t="s">
        <v>262</v>
      </c>
      <c r="E2" s="0" t="s">
        <v>263</v>
      </c>
      <c r="F2" s="0" t="s">
        <v>264</v>
      </c>
      <c r="G2" s="0" t="s">
        <v>265</v>
      </c>
    </row>
    <row r="3" customFormat="false" ht="15" hidden="false" customHeight="false" outlineLevel="0" collapsed="false">
      <c r="A3" s="0" t="s">
        <v>266</v>
      </c>
      <c r="B3" s="0" t="s">
        <v>267</v>
      </c>
      <c r="C3" s="0" t="s">
        <v>268</v>
      </c>
      <c r="D3" s="0" t="s">
        <v>269</v>
      </c>
      <c r="E3" s="0" t="s">
        <v>270</v>
      </c>
      <c r="F3" s="0" t="s">
        <v>271</v>
      </c>
      <c r="G3" s="0" t="s">
        <v>272</v>
      </c>
    </row>
    <row r="4" customFormat="false" ht="15" hidden="false" customHeight="false" outlineLevel="0" collapsed="false">
      <c r="A4" s="0" t="s">
        <v>273</v>
      </c>
      <c r="B4" s="0" t="s">
        <v>274</v>
      </c>
      <c r="C4" s="0" t="s">
        <v>275</v>
      </c>
      <c r="D4" s="0" t="s">
        <v>276</v>
      </c>
      <c r="F4" s="0" t="s">
        <v>277</v>
      </c>
      <c r="G4" s="0" t="s">
        <v>278</v>
      </c>
    </row>
    <row r="5" customFormat="false" ht="15" hidden="false" customHeight="false" outlineLevel="0" collapsed="false">
      <c r="A5" s="0" t="s">
        <v>279</v>
      </c>
      <c r="B5" s="0" t="s">
        <v>280</v>
      </c>
      <c r="C5" s="0" t="s">
        <v>281</v>
      </c>
      <c r="D5" s="0" t="s">
        <v>282</v>
      </c>
      <c r="F5" s="0" t="s">
        <v>283</v>
      </c>
      <c r="G5" s="0" t="s">
        <v>284</v>
      </c>
    </row>
    <row r="6" customFormat="false" ht="15" hidden="false" customHeight="false" outlineLevel="0" collapsed="false">
      <c r="A6" s="0" t="s">
        <v>285</v>
      </c>
      <c r="B6" s="0" t="s">
        <v>286</v>
      </c>
      <c r="C6" s="0" t="s">
        <v>287</v>
      </c>
      <c r="G6" s="0" t="s">
        <v>288</v>
      </c>
    </row>
    <row r="7" customFormat="false" ht="15" hidden="false" customHeight="false" outlineLevel="0" collapsed="false">
      <c r="A7" s="0" t="s">
        <v>289</v>
      </c>
      <c r="C7" s="0" t="s">
        <v>290</v>
      </c>
      <c r="G7" s="0" t="s">
        <v>291</v>
      </c>
    </row>
    <row r="8" customFormat="false" ht="15" hidden="false" customHeight="false" outlineLevel="0" collapsed="false">
      <c r="A8" s="0" t="s">
        <v>292</v>
      </c>
      <c r="G8" s="0" t="s">
        <v>293</v>
      </c>
    </row>
    <row r="9" customFormat="false" ht="15" hidden="false" customHeight="false" outlineLevel="0" collapsed="false">
      <c r="A9" s="0" t="s">
        <v>294</v>
      </c>
      <c r="G9" s="0" t="s">
        <v>295</v>
      </c>
    </row>
    <row r="10" customFormat="false" ht="15" hidden="false" customHeight="false" outlineLevel="0" collapsed="false">
      <c r="A10" s="0" t="s">
        <v>296</v>
      </c>
      <c r="G10" s="0" t="s">
        <v>297</v>
      </c>
    </row>
    <row r="11" customFormat="false" ht="15" hidden="false" customHeight="false" outlineLevel="0" collapsed="false">
      <c r="A11" s="0" t="s">
        <v>298</v>
      </c>
      <c r="G11" s="0" t="s">
        <v>299</v>
      </c>
    </row>
    <row r="12" customFormat="false" ht="15" hidden="false" customHeight="false" outlineLevel="0" collapsed="false">
      <c r="A12" s="0" t="s">
        <v>300</v>
      </c>
      <c r="G12" s="0" t="s">
        <v>300</v>
      </c>
    </row>
  </sheetData>
  <printOptions headings="false" gridLines="false" gridLinesSet="true" horizontalCentered="false" verticalCentered="false"/>
  <pageMargins left="0.25" right="0.25" top="0.35" bottom="0.3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&amp;LTesorería Multiorganizacional&amp;RPágina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8" min="7" style="0" width="30"/>
    <col collapsed="false" customWidth="true" hidden="false" outlineLevel="0" max="9" min="9" style="0" width="22"/>
    <col collapsed="false" customWidth="true" hidden="false" outlineLevel="0" max="11" min="10" style="0" width="18"/>
    <col collapsed="false" customWidth="true" hidden="false" outlineLevel="0" max="12" min="12" style="0" width="28"/>
    <col collapsed="false" customWidth="true" hidden="false" outlineLevel="0" max="13" min="13" style="0" width="16"/>
    <col collapsed="false" customWidth="true" hidden="false" outlineLevel="0" max="15" min="14" style="0" width="28"/>
  </cols>
  <sheetData>
    <row r="1" customFormat="false" ht="27.75" hidden="false" customHeight="true" outlineLevel="0" collapsed="false">
      <c r="A1" s="1" t="s">
        <v>301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2" t="s">
        <v>302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false" outlineLevel="0" collapsed="false">
      <c r="A4" s="97" t="s">
        <v>303</v>
      </c>
      <c r="B4" s="97" t="s">
        <v>62</v>
      </c>
      <c r="C4" s="97" t="s">
        <v>30</v>
      </c>
      <c r="D4" s="97" t="s">
        <v>63</v>
      </c>
      <c r="E4" s="97" t="s">
        <v>304</v>
      </c>
      <c r="F4" s="97" t="s">
        <v>305</v>
      </c>
      <c r="G4" s="97" t="s">
        <v>306</v>
      </c>
      <c r="H4" s="97" t="s">
        <v>307</v>
      </c>
      <c r="I4" s="97" t="s">
        <v>308</v>
      </c>
      <c r="J4" s="97" t="s">
        <v>309</v>
      </c>
      <c r="K4" s="97" t="s">
        <v>310</v>
      </c>
      <c r="L4" s="97" t="s">
        <v>311</v>
      </c>
      <c r="M4" s="97" t="s">
        <v>312</v>
      </c>
      <c r="N4" s="97" t="s">
        <v>313</v>
      </c>
      <c r="O4" s="97" t="s">
        <v>85</v>
      </c>
    </row>
    <row r="5" customFormat="false" ht="15" hidden="false" customHeight="false" outlineLevel="0" collapsed="false">
      <c r="A5" s="9" t="s">
        <v>314</v>
      </c>
      <c r="B5" s="9" t="n">
        <v>1</v>
      </c>
      <c r="C5" s="12" t="s">
        <v>86</v>
      </c>
      <c r="D5" s="12" t="s">
        <v>87</v>
      </c>
      <c r="E5" s="12" t="s">
        <v>47</v>
      </c>
      <c r="F5" s="12"/>
      <c r="G5" s="12" t="s">
        <v>88</v>
      </c>
      <c r="H5" s="13" t="s">
        <v>315</v>
      </c>
      <c r="I5" s="12"/>
      <c r="J5" s="12"/>
      <c r="K5" s="12"/>
      <c r="L5" s="12"/>
      <c r="M5" s="12"/>
      <c r="N5" s="12"/>
      <c r="O5" s="12"/>
    </row>
    <row r="6" customFormat="false" ht="15" hidden="false" customHeight="false" outlineLevel="0" collapsed="false">
      <c r="A6" s="9" t="s">
        <v>316</v>
      </c>
      <c r="B6" s="9" t="n">
        <v>2</v>
      </c>
      <c r="C6" s="12" t="s">
        <v>89</v>
      </c>
      <c r="D6" s="12" t="s">
        <v>90</v>
      </c>
      <c r="E6" s="12" t="s">
        <v>47</v>
      </c>
      <c r="F6" s="12"/>
      <c r="G6" s="12" t="s">
        <v>91</v>
      </c>
      <c r="H6" s="13" t="s">
        <v>315</v>
      </c>
      <c r="I6" s="12"/>
      <c r="J6" s="12"/>
      <c r="K6" s="12"/>
      <c r="L6" s="12"/>
      <c r="M6" s="12"/>
      <c r="N6" s="12"/>
      <c r="O6" s="12"/>
    </row>
    <row r="7" customFormat="false" ht="15" hidden="false" customHeight="false" outlineLevel="0" collapsed="false">
      <c r="A7" s="9" t="s">
        <v>317</v>
      </c>
      <c r="B7" s="9" t="n">
        <v>3</v>
      </c>
      <c r="C7" s="12" t="s">
        <v>92</v>
      </c>
      <c r="D7" s="12" t="s">
        <v>93</v>
      </c>
      <c r="E7" s="12" t="s">
        <v>47</v>
      </c>
      <c r="F7" s="12"/>
      <c r="G7" s="12" t="s">
        <v>94</v>
      </c>
      <c r="H7" s="13" t="s">
        <v>315</v>
      </c>
      <c r="I7" s="12"/>
      <c r="J7" s="12"/>
      <c r="K7" s="12"/>
      <c r="L7" s="12"/>
      <c r="M7" s="12"/>
      <c r="N7" s="12"/>
      <c r="O7" s="12"/>
    </row>
    <row r="8" customFormat="false" ht="15" hidden="false" customHeight="false" outlineLevel="0" collapsed="false">
      <c r="A8" s="9" t="s">
        <v>318</v>
      </c>
      <c r="B8" s="9" t="n">
        <v>4</v>
      </c>
      <c r="C8" s="12" t="s">
        <v>95</v>
      </c>
      <c r="D8" s="12" t="s">
        <v>96</v>
      </c>
      <c r="E8" s="12" t="s">
        <v>47</v>
      </c>
      <c r="F8" s="12"/>
      <c r="G8" s="12" t="s">
        <v>97</v>
      </c>
      <c r="H8" s="13" t="s">
        <v>315</v>
      </c>
      <c r="I8" s="12"/>
      <c r="J8" s="12"/>
      <c r="K8" s="12"/>
      <c r="L8" s="12"/>
      <c r="M8" s="12"/>
      <c r="N8" s="12"/>
      <c r="O8" s="12"/>
    </row>
    <row r="9" customFormat="false" ht="15" hidden="false" customHeight="false" outlineLevel="0" collapsed="false">
      <c r="A9" s="9" t="s">
        <v>319</v>
      </c>
      <c r="B9" s="9"/>
      <c r="C9" s="12"/>
      <c r="D9" s="12" t="s">
        <v>98</v>
      </c>
      <c r="E9" s="12" t="s">
        <v>47</v>
      </c>
      <c r="F9" s="12"/>
      <c r="G9" s="12"/>
      <c r="H9" s="13" t="s">
        <v>315</v>
      </c>
      <c r="I9" s="12"/>
      <c r="J9" s="12"/>
      <c r="K9" s="12"/>
      <c r="L9" s="12"/>
      <c r="M9" s="12"/>
      <c r="N9" s="12"/>
      <c r="O9" s="12"/>
    </row>
    <row r="10" customFormat="false" ht="15" hidden="false" customHeight="false" outlineLevel="0" collapsed="false">
      <c r="A10" s="9" t="s">
        <v>320</v>
      </c>
      <c r="B10" s="9" t="n">
        <v>6</v>
      </c>
      <c r="C10" s="12" t="s">
        <v>99</v>
      </c>
      <c r="D10" s="12" t="s">
        <v>100</v>
      </c>
      <c r="E10" s="12" t="s">
        <v>47</v>
      </c>
      <c r="F10" s="12"/>
      <c r="G10" s="12"/>
      <c r="H10" s="13" t="s">
        <v>315</v>
      </c>
      <c r="I10" s="12"/>
      <c r="J10" s="12"/>
      <c r="K10" s="12"/>
      <c r="L10" s="12"/>
      <c r="M10" s="12"/>
      <c r="N10" s="12"/>
      <c r="O10" s="12"/>
    </row>
    <row r="11" customFormat="false" ht="15" hidden="false" customHeight="false" outlineLevel="0" collapsed="false">
      <c r="A11" s="9" t="s">
        <v>321</v>
      </c>
      <c r="B11" s="9" t="n">
        <v>7</v>
      </c>
      <c r="C11" s="12" t="s">
        <v>101</v>
      </c>
      <c r="D11" s="12" t="s">
        <v>102</v>
      </c>
      <c r="E11" s="12" t="s">
        <v>47</v>
      </c>
      <c r="F11" s="12"/>
      <c r="G11" s="12"/>
      <c r="H11" s="13" t="s">
        <v>315</v>
      </c>
      <c r="I11" s="12"/>
      <c r="J11" s="12"/>
      <c r="K11" s="12"/>
      <c r="L11" s="12"/>
      <c r="M11" s="12"/>
      <c r="N11" s="12"/>
      <c r="O11" s="12"/>
    </row>
    <row r="12" customFormat="false" ht="15" hidden="false" customHeight="false" outlineLevel="0" collapsed="false">
      <c r="A12" s="9" t="s">
        <v>322</v>
      </c>
      <c r="B12" s="9" t="n">
        <v>8</v>
      </c>
      <c r="C12" s="12" t="s">
        <v>103</v>
      </c>
      <c r="D12" s="12" t="s">
        <v>104</v>
      </c>
      <c r="E12" s="12" t="s">
        <v>47</v>
      </c>
      <c r="F12" s="12"/>
      <c r="G12" s="12" t="s">
        <v>105</v>
      </c>
      <c r="H12" s="13" t="s">
        <v>315</v>
      </c>
      <c r="I12" s="12"/>
      <c r="J12" s="12"/>
      <c r="K12" s="12"/>
      <c r="L12" s="12"/>
      <c r="M12" s="12"/>
      <c r="N12" s="12"/>
      <c r="O12" s="12"/>
    </row>
    <row r="13" customFormat="false" ht="15" hidden="false" customHeight="false" outlineLevel="0" collapsed="false">
      <c r="A13" s="9" t="s">
        <v>323</v>
      </c>
      <c r="B13" s="9" t="n">
        <v>9</v>
      </c>
      <c r="C13" s="12" t="s">
        <v>106</v>
      </c>
      <c r="D13" s="12" t="s">
        <v>107</v>
      </c>
      <c r="E13" s="12" t="s">
        <v>47</v>
      </c>
      <c r="F13" s="12"/>
      <c r="G13" s="12"/>
      <c r="H13" s="13" t="s">
        <v>315</v>
      </c>
      <c r="I13" s="12"/>
      <c r="J13" s="12"/>
      <c r="K13" s="12"/>
      <c r="L13" s="12"/>
      <c r="M13" s="12"/>
      <c r="N13" s="12"/>
      <c r="O13" s="12"/>
    </row>
    <row r="14" customFormat="false" ht="15" hidden="false" customHeight="false" outlineLevel="0" collapsed="false">
      <c r="A14" s="9" t="s">
        <v>324</v>
      </c>
      <c r="B14" s="9" t="n">
        <v>10</v>
      </c>
      <c r="C14" s="12" t="s">
        <v>108</v>
      </c>
      <c r="D14" s="12" t="s">
        <v>109</v>
      </c>
      <c r="E14" s="12" t="s">
        <v>47</v>
      </c>
      <c r="F14" s="12"/>
      <c r="G14" s="12"/>
      <c r="H14" s="13" t="s">
        <v>315</v>
      </c>
      <c r="I14" s="12"/>
      <c r="J14" s="12"/>
      <c r="K14" s="12"/>
      <c r="L14" s="12"/>
      <c r="M14" s="12"/>
      <c r="N14" s="12"/>
      <c r="O14" s="12"/>
    </row>
    <row r="15" customFormat="false" ht="15" hidden="false" customHeight="false" outlineLevel="0" collapsed="false">
      <c r="A15" s="9" t="s">
        <v>325</v>
      </c>
      <c r="B15" s="9" t="n">
        <v>11</v>
      </c>
      <c r="C15" s="12" t="s">
        <v>110</v>
      </c>
      <c r="D15" s="12" t="s">
        <v>111</v>
      </c>
      <c r="E15" s="12" t="s">
        <v>47</v>
      </c>
      <c r="F15" s="12"/>
      <c r="G15" s="12" t="s">
        <v>112</v>
      </c>
      <c r="H15" s="13" t="s">
        <v>315</v>
      </c>
      <c r="I15" s="12"/>
      <c r="J15" s="12"/>
      <c r="K15" s="12"/>
      <c r="L15" s="12"/>
      <c r="M15" s="12"/>
      <c r="N15" s="12"/>
      <c r="O15" s="12"/>
    </row>
    <row r="16" customFormat="false" ht="15" hidden="false" customHeight="false" outlineLevel="0" collapsed="false">
      <c r="A16" s="9" t="s">
        <v>326</v>
      </c>
      <c r="B16" s="9" t="n">
        <v>12</v>
      </c>
      <c r="C16" s="12" t="s">
        <v>113</v>
      </c>
      <c r="D16" s="12" t="s">
        <v>114</v>
      </c>
      <c r="E16" s="12" t="s">
        <v>47</v>
      </c>
      <c r="F16" s="12"/>
      <c r="G16" s="12" t="s">
        <v>115</v>
      </c>
      <c r="H16" s="13" t="s">
        <v>315</v>
      </c>
      <c r="I16" s="12"/>
      <c r="J16" s="12"/>
      <c r="K16" s="12"/>
      <c r="L16" s="12"/>
      <c r="M16" s="12"/>
      <c r="N16" s="12"/>
      <c r="O16" s="12"/>
    </row>
    <row r="17" customFormat="false" ht="15" hidden="false" customHeight="false" outlineLevel="0" collapsed="false">
      <c r="A17" s="9" t="s">
        <v>327</v>
      </c>
      <c r="B17" s="9" t="n">
        <v>13</v>
      </c>
      <c r="C17" s="12" t="s">
        <v>116</v>
      </c>
      <c r="D17" s="12" t="s">
        <v>117</v>
      </c>
      <c r="E17" s="12" t="s">
        <v>47</v>
      </c>
      <c r="F17" s="12"/>
      <c r="G17" s="12" t="s">
        <v>118</v>
      </c>
      <c r="H17" s="13" t="s">
        <v>315</v>
      </c>
      <c r="I17" s="12"/>
      <c r="J17" s="12"/>
      <c r="K17" s="12"/>
      <c r="L17" s="12"/>
      <c r="M17" s="12"/>
      <c r="N17" s="12"/>
      <c r="O17" s="12"/>
    </row>
    <row r="18" customFormat="false" ht="15" hidden="false" customHeight="false" outlineLevel="0" collapsed="false">
      <c r="A18" s="9" t="s">
        <v>328</v>
      </c>
      <c r="B18" s="9" t="n">
        <v>14</v>
      </c>
      <c r="C18" s="12" t="s">
        <v>119</v>
      </c>
      <c r="D18" s="12" t="s">
        <v>120</v>
      </c>
      <c r="E18" s="12" t="s">
        <v>47</v>
      </c>
      <c r="F18" s="12"/>
      <c r="G18" s="12" t="s">
        <v>118</v>
      </c>
      <c r="H18" s="13" t="s">
        <v>315</v>
      </c>
      <c r="I18" s="12"/>
      <c r="J18" s="12"/>
      <c r="K18" s="12"/>
      <c r="L18" s="12"/>
      <c r="M18" s="12"/>
      <c r="N18" s="12"/>
      <c r="O18" s="12"/>
    </row>
    <row r="19" customFormat="false" ht="15" hidden="false" customHeight="false" outlineLevel="0" collapsed="false">
      <c r="A19" s="9" t="s">
        <v>329</v>
      </c>
      <c r="B19" s="9" t="n">
        <v>15</v>
      </c>
      <c r="C19" s="12" t="s">
        <v>121</v>
      </c>
      <c r="D19" s="12" t="s">
        <v>122</v>
      </c>
      <c r="E19" s="12" t="s">
        <v>47</v>
      </c>
      <c r="F19" s="12"/>
      <c r="G19" s="12" t="s">
        <v>123</v>
      </c>
      <c r="H19" s="13" t="s">
        <v>315</v>
      </c>
      <c r="I19" s="12"/>
      <c r="J19" s="12"/>
      <c r="K19" s="12"/>
      <c r="L19" s="12"/>
      <c r="M19" s="12"/>
      <c r="N19" s="12"/>
      <c r="O19" s="12"/>
    </row>
    <row r="20" customFormat="false" ht="15" hidden="false" customHeight="false" outlineLevel="0" collapsed="false">
      <c r="A20" s="9" t="s">
        <v>330</v>
      </c>
      <c r="B20" s="9" t="n">
        <v>16</v>
      </c>
      <c r="C20" s="12" t="s">
        <v>124</v>
      </c>
      <c r="D20" s="12" t="s">
        <v>125</v>
      </c>
      <c r="E20" s="12" t="s">
        <v>47</v>
      </c>
      <c r="F20" s="12"/>
      <c r="G20" s="12"/>
      <c r="H20" s="13" t="s">
        <v>315</v>
      </c>
      <c r="I20" s="12"/>
      <c r="J20" s="12"/>
      <c r="K20" s="12"/>
      <c r="L20" s="12"/>
      <c r="M20" s="12"/>
      <c r="N20" s="12"/>
      <c r="O20" s="12"/>
    </row>
    <row r="21" customFormat="false" ht="15" hidden="false" customHeight="false" outlineLevel="0" collapsed="false">
      <c r="A21" s="9" t="s">
        <v>331</v>
      </c>
      <c r="B21" s="9" t="n">
        <v>17</v>
      </c>
      <c r="C21" s="12" t="s">
        <v>126</v>
      </c>
      <c r="D21" s="12" t="s">
        <v>127</v>
      </c>
      <c r="E21" s="12" t="s">
        <v>47</v>
      </c>
      <c r="F21" s="12"/>
      <c r="G21" s="12" t="s">
        <v>128</v>
      </c>
      <c r="H21" s="13" t="s">
        <v>315</v>
      </c>
      <c r="I21" s="12"/>
      <c r="J21" s="12"/>
      <c r="K21" s="12"/>
      <c r="L21" s="12"/>
      <c r="M21" s="12"/>
      <c r="N21" s="12"/>
      <c r="O21" s="12"/>
    </row>
    <row r="22" customFormat="false" ht="15" hidden="false" customHeight="false" outlineLevel="0" collapsed="false">
      <c r="A22" s="9" t="s">
        <v>332</v>
      </c>
      <c r="B22" s="9" t="n">
        <v>18</v>
      </c>
      <c r="C22" s="12" t="s">
        <v>129</v>
      </c>
      <c r="D22" s="12" t="s">
        <v>130</v>
      </c>
      <c r="E22" s="12" t="s">
        <v>47</v>
      </c>
      <c r="F22" s="12"/>
      <c r="G22" s="12" t="s">
        <v>131</v>
      </c>
      <c r="H22" s="13" t="s">
        <v>315</v>
      </c>
      <c r="I22" s="12"/>
      <c r="J22" s="12"/>
      <c r="K22" s="12"/>
      <c r="L22" s="12"/>
      <c r="M22" s="12"/>
      <c r="N22" s="12"/>
      <c r="O22" s="12"/>
    </row>
    <row r="23" customFormat="false" ht="15" hidden="false" customHeight="false" outlineLevel="0" collapsed="false">
      <c r="A23" s="9" t="s">
        <v>333</v>
      </c>
      <c r="B23" s="9" t="n">
        <v>19</v>
      </c>
      <c r="C23" s="12" t="s">
        <v>132</v>
      </c>
      <c r="D23" s="12" t="s">
        <v>133</v>
      </c>
      <c r="E23" s="12" t="s">
        <v>47</v>
      </c>
      <c r="F23" s="12"/>
      <c r="G23" s="12" t="s">
        <v>134</v>
      </c>
      <c r="H23" s="13" t="s">
        <v>315</v>
      </c>
      <c r="I23" s="12"/>
      <c r="J23" s="12"/>
      <c r="K23" s="12"/>
      <c r="L23" s="12"/>
      <c r="M23" s="12"/>
      <c r="N23" s="12"/>
      <c r="O23" s="12"/>
    </row>
    <row r="24" customFormat="false" ht="15" hidden="false" customHeight="false" outlineLevel="0" collapsed="false">
      <c r="A24" s="9" t="s">
        <v>334</v>
      </c>
      <c r="B24" s="9" t="n">
        <v>20</v>
      </c>
      <c r="C24" s="12" t="s">
        <v>135</v>
      </c>
      <c r="D24" s="12" t="s">
        <v>136</v>
      </c>
      <c r="E24" s="12" t="s">
        <v>47</v>
      </c>
      <c r="F24" s="12"/>
      <c r="G24" s="12" t="s">
        <v>137</v>
      </c>
      <c r="H24" s="13" t="s">
        <v>315</v>
      </c>
      <c r="I24" s="12"/>
      <c r="J24" s="12"/>
      <c r="K24" s="12"/>
      <c r="L24" s="12"/>
      <c r="M24" s="12"/>
      <c r="N24" s="12"/>
      <c r="O24" s="12"/>
    </row>
    <row r="25" customFormat="false" ht="15" hidden="false" customHeight="false" outlineLevel="0" collapsed="false">
      <c r="A25" s="9" t="s">
        <v>335</v>
      </c>
      <c r="B25" s="9" t="n">
        <v>21</v>
      </c>
      <c r="C25" s="12" t="s">
        <v>138</v>
      </c>
      <c r="D25" s="12" t="s">
        <v>139</v>
      </c>
      <c r="E25" s="12" t="s">
        <v>47</v>
      </c>
      <c r="F25" s="12"/>
      <c r="G25" s="12" t="s">
        <v>140</v>
      </c>
      <c r="H25" s="13" t="s">
        <v>315</v>
      </c>
      <c r="I25" s="12"/>
      <c r="J25" s="12"/>
      <c r="K25" s="12"/>
      <c r="L25" s="12"/>
      <c r="M25" s="12"/>
      <c r="N25" s="12"/>
      <c r="O25" s="12"/>
    </row>
    <row r="26" customFormat="false" ht="15" hidden="false" customHeight="false" outlineLevel="0" collapsed="false">
      <c r="A26" s="9" t="s">
        <v>336</v>
      </c>
      <c r="B26" s="9" t="n">
        <v>22</v>
      </c>
      <c r="C26" s="12" t="s">
        <v>141</v>
      </c>
      <c r="D26" s="12" t="s">
        <v>142</v>
      </c>
      <c r="E26" s="12" t="s">
        <v>47</v>
      </c>
      <c r="F26" s="12"/>
      <c r="G26" s="12"/>
      <c r="H26" s="13" t="s">
        <v>315</v>
      </c>
      <c r="I26" s="12"/>
      <c r="J26" s="12"/>
      <c r="K26" s="12"/>
      <c r="L26" s="12"/>
      <c r="M26" s="12"/>
      <c r="N26" s="12"/>
      <c r="O26" s="12"/>
    </row>
    <row r="27" customFormat="false" ht="15" hidden="false" customHeight="false" outlineLevel="0" collapsed="false">
      <c r="A27" s="9" t="s">
        <v>337</v>
      </c>
      <c r="B27" s="9" t="n">
        <v>23</v>
      </c>
      <c r="C27" s="12" t="s">
        <v>143</v>
      </c>
      <c r="D27" s="12" t="s">
        <v>144</v>
      </c>
      <c r="E27" s="12" t="s">
        <v>47</v>
      </c>
      <c r="F27" s="12"/>
      <c r="G27" s="12" t="s">
        <v>145</v>
      </c>
      <c r="H27" s="13" t="s">
        <v>315</v>
      </c>
      <c r="I27" s="12"/>
      <c r="J27" s="12"/>
      <c r="K27" s="12"/>
      <c r="L27" s="12"/>
      <c r="M27" s="12"/>
      <c r="N27" s="12"/>
      <c r="O27" s="12"/>
    </row>
    <row r="28" customFormat="false" ht="15" hidden="false" customHeight="false" outlineLevel="0" collapsed="false">
      <c r="A28" s="9" t="s">
        <v>338</v>
      </c>
      <c r="B28" s="9" t="n">
        <v>24</v>
      </c>
      <c r="C28" s="12" t="s">
        <v>146</v>
      </c>
      <c r="D28" s="12" t="s">
        <v>147</v>
      </c>
      <c r="E28" s="12" t="s">
        <v>47</v>
      </c>
      <c r="F28" s="12"/>
      <c r="G28" s="12" t="s">
        <v>148</v>
      </c>
      <c r="H28" s="13" t="s">
        <v>315</v>
      </c>
      <c r="I28" s="12"/>
      <c r="J28" s="12"/>
      <c r="K28" s="12"/>
      <c r="L28" s="12"/>
      <c r="M28" s="12"/>
      <c r="N28" s="12"/>
      <c r="O28" s="12"/>
    </row>
    <row r="29" customFormat="false" ht="15" hidden="false" customHeight="false" outlineLevel="0" collapsed="false">
      <c r="A29" s="9" t="s">
        <v>339</v>
      </c>
      <c r="B29" s="9" t="n">
        <v>25</v>
      </c>
      <c r="C29" s="12" t="s">
        <v>149</v>
      </c>
      <c r="D29" s="12" t="s">
        <v>150</v>
      </c>
      <c r="E29" s="12" t="s">
        <v>47</v>
      </c>
      <c r="F29" s="12"/>
      <c r="G29" s="12" t="s">
        <v>151</v>
      </c>
      <c r="H29" s="13" t="s">
        <v>315</v>
      </c>
      <c r="I29" s="12"/>
      <c r="J29" s="12"/>
      <c r="K29" s="12"/>
      <c r="L29" s="12"/>
      <c r="M29" s="12"/>
      <c r="N29" s="12"/>
      <c r="O29" s="12"/>
    </row>
    <row r="30" customFormat="false" ht="15" hidden="false" customHeight="false" outlineLevel="0" collapsed="false">
      <c r="A30" s="9" t="s">
        <v>340</v>
      </c>
      <c r="B30" s="9" t="n">
        <v>26</v>
      </c>
      <c r="C30" s="12" t="s">
        <v>152</v>
      </c>
      <c r="D30" s="12" t="s">
        <v>153</v>
      </c>
      <c r="E30" s="12" t="s">
        <v>47</v>
      </c>
      <c r="F30" s="12"/>
      <c r="G30" s="12" t="s">
        <v>154</v>
      </c>
      <c r="H30" s="13" t="s">
        <v>315</v>
      </c>
      <c r="I30" s="12"/>
      <c r="J30" s="12"/>
      <c r="K30" s="12"/>
      <c r="L30" s="12"/>
      <c r="M30" s="12"/>
      <c r="N30" s="12"/>
      <c r="O30" s="12"/>
    </row>
    <row r="31" customFormat="false" ht="15" hidden="false" customHeight="false" outlineLevel="0" collapsed="false">
      <c r="A31" s="9" t="s">
        <v>341</v>
      </c>
      <c r="B31" s="9" t="n">
        <v>27</v>
      </c>
      <c r="C31" s="12" t="s">
        <v>155</v>
      </c>
      <c r="D31" s="12" t="s">
        <v>156</v>
      </c>
      <c r="E31" s="12" t="s">
        <v>47</v>
      </c>
      <c r="F31" s="12"/>
      <c r="G31" s="12" t="s">
        <v>157</v>
      </c>
      <c r="H31" s="13" t="s">
        <v>315</v>
      </c>
      <c r="I31" s="12"/>
      <c r="J31" s="12"/>
      <c r="K31" s="12"/>
      <c r="L31" s="12"/>
      <c r="M31" s="12"/>
      <c r="N31" s="12"/>
      <c r="O31" s="12"/>
    </row>
    <row r="32" customFormat="false" ht="15" hidden="false" customHeight="false" outlineLevel="0" collapsed="false">
      <c r="A32" s="9" t="s">
        <v>342</v>
      </c>
      <c r="B32" s="9" t="n">
        <v>28</v>
      </c>
      <c r="C32" s="12" t="s">
        <v>158</v>
      </c>
      <c r="D32" s="12" t="s">
        <v>159</v>
      </c>
      <c r="E32" s="12" t="s">
        <v>47</v>
      </c>
      <c r="F32" s="12"/>
      <c r="G32" s="12"/>
      <c r="H32" s="13" t="s">
        <v>315</v>
      </c>
      <c r="I32" s="12"/>
      <c r="J32" s="12"/>
      <c r="K32" s="12"/>
      <c r="L32" s="12"/>
      <c r="M32" s="12"/>
      <c r="N32" s="12"/>
      <c r="O32" s="12"/>
    </row>
    <row r="33" customFormat="false" ht="15" hidden="false" customHeight="false" outlineLevel="0" collapsed="false">
      <c r="A33" s="9" t="s">
        <v>343</v>
      </c>
      <c r="B33" s="9" t="n">
        <v>29</v>
      </c>
      <c r="C33" s="12" t="s">
        <v>160</v>
      </c>
      <c r="D33" s="12" t="s">
        <v>161</v>
      </c>
      <c r="E33" s="12" t="s">
        <v>47</v>
      </c>
      <c r="F33" s="12"/>
      <c r="G33" s="12" t="s">
        <v>162</v>
      </c>
      <c r="H33" s="13" t="s">
        <v>315</v>
      </c>
      <c r="I33" s="12"/>
      <c r="J33" s="12"/>
      <c r="K33" s="12"/>
      <c r="L33" s="12"/>
      <c r="M33" s="12"/>
      <c r="N33" s="12"/>
      <c r="O33" s="12"/>
    </row>
    <row r="34" customFormat="false" ht="15" hidden="false" customHeight="false" outlineLevel="0" collapsed="false">
      <c r="A34" s="9" t="s">
        <v>344</v>
      </c>
      <c r="B34" s="9" t="n">
        <v>30</v>
      </c>
      <c r="C34" s="12" t="s">
        <v>163</v>
      </c>
      <c r="D34" s="12" t="s">
        <v>164</v>
      </c>
      <c r="E34" s="12" t="s">
        <v>47</v>
      </c>
      <c r="F34" s="12"/>
      <c r="G34" s="12" t="s">
        <v>165</v>
      </c>
      <c r="H34" s="13" t="s">
        <v>315</v>
      </c>
      <c r="I34" s="12"/>
      <c r="J34" s="12"/>
      <c r="K34" s="12"/>
      <c r="L34" s="12"/>
      <c r="M34" s="12"/>
      <c r="N34" s="12"/>
      <c r="O34" s="12"/>
    </row>
    <row r="35" customFormat="false" ht="15" hidden="false" customHeight="false" outlineLevel="0" collapsed="false">
      <c r="A35" s="9" t="s">
        <v>345</v>
      </c>
      <c r="B35" s="9" t="n">
        <v>31</v>
      </c>
      <c r="C35" s="12" t="s">
        <v>166</v>
      </c>
      <c r="D35" s="12" t="s">
        <v>167</v>
      </c>
      <c r="E35" s="12" t="s">
        <v>47</v>
      </c>
      <c r="F35" s="12"/>
      <c r="G35" s="12"/>
      <c r="H35" s="13" t="s">
        <v>315</v>
      </c>
      <c r="I35" s="12"/>
      <c r="J35" s="12"/>
      <c r="K35" s="12"/>
      <c r="L35" s="12"/>
      <c r="M35" s="12"/>
      <c r="N35" s="12"/>
      <c r="O35" s="12"/>
    </row>
    <row r="36" customFormat="false" ht="15" hidden="false" customHeight="false" outlineLevel="0" collapsed="false">
      <c r="A36" s="9" t="s">
        <v>346</v>
      </c>
      <c r="B36" s="9" t="n">
        <v>32</v>
      </c>
      <c r="C36" s="12"/>
      <c r="D36" s="12" t="s">
        <v>168</v>
      </c>
      <c r="E36" s="12" t="s">
        <v>47</v>
      </c>
      <c r="F36" s="12"/>
      <c r="G36" s="12"/>
      <c r="H36" s="13" t="s">
        <v>315</v>
      </c>
      <c r="I36" s="12"/>
      <c r="J36" s="12"/>
      <c r="K36" s="12"/>
      <c r="L36" s="12"/>
      <c r="M36" s="12"/>
      <c r="N36" s="12"/>
      <c r="O36" s="12"/>
    </row>
    <row r="37" customFormat="false" ht="15" hidden="false" customHeight="false" outlineLevel="0" collapsed="false">
      <c r="A37" s="9" t="s">
        <v>347</v>
      </c>
      <c r="B37" s="9" t="n">
        <v>33</v>
      </c>
      <c r="C37" s="12"/>
      <c r="D37" s="12" t="s">
        <v>169</v>
      </c>
      <c r="E37" s="12" t="s">
        <v>47</v>
      </c>
      <c r="F37" s="12"/>
      <c r="G37" s="12" t="s">
        <v>170</v>
      </c>
      <c r="H37" s="13" t="s">
        <v>315</v>
      </c>
      <c r="I37" s="12"/>
      <c r="J37" s="12"/>
      <c r="K37" s="12"/>
      <c r="L37" s="12"/>
      <c r="M37" s="12"/>
      <c r="N37" s="12"/>
      <c r="O37" s="12"/>
    </row>
    <row r="38" customFormat="false" ht="15" hidden="false" customHeight="false" outlineLevel="0" collapsed="false">
      <c r="A38" s="9" t="s">
        <v>348</v>
      </c>
      <c r="B38" s="9" t="n">
        <v>34</v>
      </c>
      <c r="C38" s="12"/>
      <c r="D38" s="12" t="s">
        <v>171</v>
      </c>
      <c r="E38" s="12" t="s">
        <v>47</v>
      </c>
      <c r="F38" s="12"/>
      <c r="G38" s="12" t="s">
        <v>172</v>
      </c>
      <c r="H38" s="13" t="s">
        <v>315</v>
      </c>
      <c r="I38" s="12"/>
      <c r="J38" s="12"/>
      <c r="K38" s="12"/>
      <c r="L38" s="12"/>
      <c r="M38" s="12"/>
      <c r="N38" s="12"/>
      <c r="O38" s="12"/>
    </row>
    <row r="39" customFormat="false" ht="15" hidden="false" customHeight="false" outlineLevel="0" collapsed="false">
      <c r="A39" s="9" t="s">
        <v>349</v>
      </c>
      <c r="B39" s="9" t="n">
        <v>35</v>
      </c>
      <c r="C39" s="12"/>
      <c r="D39" s="12" t="s">
        <v>173</v>
      </c>
      <c r="E39" s="12" t="s">
        <v>47</v>
      </c>
      <c r="F39" s="12"/>
      <c r="G39" s="12" t="s">
        <v>174</v>
      </c>
      <c r="H39" s="13" t="s">
        <v>315</v>
      </c>
      <c r="I39" s="12"/>
      <c r="J39" s="12"/>
      <c r="K39" s="12"/>
      <c r="L39" s="12"/>
      <c r="M39" s="12"/>
      <c r="N39" s="12"/>
      <c r="O39" s="12"/>
    </row>
    <row r="40" customFormat="false" ht="15" hidden="false" customHeight="false" outlineLevel="0" collapsed="false">
      <c r="A40" s="9" t="s">
        <v>350</v>
      </c>
      <c r="B40" s="9" t="n">
        <v>36</v>
      </c>
      <c r="C40" s="12"/>
      <c r="D40" s="12" t="s">
        <v>175</v>
      </c>
      <c r="E40" s="12" t="s">
        <v>47</v>
      </c>
      <c r="F40" s="12"/>
      <c r="G40" s="12" t="s">
        <v>176</v>
      </c>
      <c r="H40" s="13" t="s">
        <v>315</v>
      </c>
      <c r="I40" s="12"/>
      <c r="J40" s="12"/>
      <c r="K40" s="12"/>
      <c r="L40" s="12"/>
      <c r="M40" s="12"/>
      <c r="N40" s="12"/>
      <c r="O40" s="12"/>
    </row>
    <row r="41" customFormat="false" ht="15" hidden="false" customHeight="false" outlineLevel="0" collapsed="false">
      <c r="A41" s="9" t="s">
        <v>351</v>
      </c>
      <c r="B41" s="9" t="n">
        <v>37</v>
      </c>
      <c r="C41" s="12"/>
      <c r="D41" s="12" t="s">
        <v>177</v>
      </c>
      <c r="E41" s="12" t="s">
        <v>47</v>
      </c>
      <c r="F41" s="12"/>
      <c r="G41" s="12"/>
      <c r="H41" s="13" t="s">
        <v>315</v>
      </c>
      <c r="I41" s="12"/>
      <c r="J41" s="12"/>
      <c r="K41" s="12"/>
      <c r="L41" s="12"/>
      <c r="M41" s="12"/>
      <c r="N41" s="12"/>
      <c r="O41" s="12"/>
    </row>
    <row r="42" customFormat="false" ht="15" hidden="false" customHeight="false" outlineLevel="0" collapsed="false">
      <c r="A42" s="9"/>
      <c r="B42" s="9"/>
      <c r="C42" s="12"/>
      <c r="D42" s="12"/>
      <c r="E42" s="12" t="s">
        <v>47</v>
      </c>
      <c r="F42" s="12"/>
      <c r="G42" s="12"/>
      <c r="H42" s="13"/>
      <c r="I42" s="12"/>
      <c r="J42" s="12"/>
      <c r="K42" s="12"/>
      <c r="L42" s="12"/>
      <c r="M42" s="12"/>
      <c r="N42" s="12"/>
      <c r="O42" s="12"/>
    </row>
    <row r="43" customFormat="false" ht="15" hidden="false" customHeight="false" outlineLevel="0" collapsed="false">
      <c r="A43" s="9"/>
      <c r="B43" s="9"/>
      <c r="C43" s="12"/>
      <c r="D43" s="12"/>
      <c r="E43" s="12" t="s">
        <v>47</v>
      </c>
      <c r="F43" s="12"/>
      <c r="G43" s="12"/>
      <c r="H43" s="13"/>
      <c r="I43" s="12"/>
      <c r="J43" s="12"/>
      <c r="K43" s="12"/>
      <c r="L43" s="12"/>
      <c r="M43" s="12"/>
      <c r="N43" s="12"/>
      <c r="O43" s="12"/>
    </row>
    <row r="44" customFormat="false" ht="15" hidden="false" customHeight="false" outlineLevel="0" collapsed="false">
      <c r="A44" s="9"/>
      <c r="B44" s="9"/>
      <c r="C44" s="12"/>
      <c r="D44" s="12"/>
      <c r="E44" s="12" t="s">
        <v>47</v>
      </c>
      <c r="F44" s="12"/>
      <c r="G44" s="12"/>
      <c r="H44" s="13"/>
      <c r="I44" s="12"/>
      <c r="J44" s="12"/>
      <c r="K44" s="12"/>
      <c r="L44" s="12"/>
      <c r="M44" s="12"/>
      <c r="N44" s="12"/>
      <c r="O44" s="12"/>
    </row>
    <row r="45" customFormat="false" ht="15" hidden="false" customHeight="false" outlineLevel="0" collapsed="false">
      <c r="A45" s="9"/>
      <c r="B45" s="9"/>
      <c r="C45" s="12"/>
      <c r="D45" s="12"/>
      <c r="E45" s="12" t="s">
        <v>47</v>
      </c>
      <c r="F45" s="12"/>
      <c r="G45" s="12"/>
      <c r="H45" s="13"/>
      <c r="I45" s="12"/>
      <c r="J45" s="12"/>
      <c r="K45" s="12"/>
      <c r="L45" s="12"/>
      <c r="M45" s="12"/>
      <c r="N45" s="12"/>
      <c r="O45" s="12"/>
    </row>
    <row r="46" customFormat="false" ht="15" hidden="false" customHeight="false" outlineLevel="0" collapsed="false">
      <c r="A46" s="9"/>
      <c r="B46" s="9"/>
      <c r="C46" s="12"/>
      <c r="D46" s="12"/>
      <c r="E46" s="12" t="s">
        <v>47</v>
      </c>
      <c r="F46" s="12"/>
      <c r="G46" s="12"/>
      <c r="H46" s="13"/>
      <c r="I46" s="12"/>
      <c r="J46" s="12"/>
      <c r="K46" s="12"/>
      <c r="L46" s="12"/>
      <c r="M46" s="12"/>
      <c r="N46" s="12"/>
      <c r="O46" s="12"/>
    </row>
    <row r="47" customFormat="false" ht="15" hidden="false" customHeight="false" outlineLevel="0" collapsed="false">
      <c r="A47" s="9"/>
      <c r="B47" s="9"/>
      <c r="C47" s="12"/>
      <c r="D47" s="12"/>
      <c r="E47" s="12" t="s">
        <v>47</v>
      </c>
      <c r="F47" s="12"/>
      <c r="G47" s="12"/>
      <c r="H47" s="13"/>
      <c r="I47" s="12"/>
      <c r="J47" s="12"/>
      <c r="K47" s="12"/>
      <c r="L47" s="12"/>
      <c r="M47" s="12"/>
      <c r="N47" s="12"/>
      <c r="O47" s="12"/>
    </row>
    <row r="48" customFormat="false" ht="15" hidden="false" customHeight="false" outlineLevel="0" collapsed="false">
      <c r="A48" s="9"/>
      <c r="B48" s="9"/>
      <c r="C48" s="12"/>
      <c r="D48" s="12"/>
      <c r="E48" s="12" t="s">
        <v>47</v>
      </c>
      <c r="F48" s="12"/>
      <c r="G48" s="12"/>
      <c r="H48" s="13"/>
      <c r="I48" s="12"/>
      <c r="J48" s="12"/>
      <c r="K48" s="12"/>
      <c r="L48" s="12"/>
      <c r="M48" s="12"/>
      <c r="N48" s="12"/>
      <c r="O48" s="12"/>
    </row>
    <row r="49" customFormat="false" ht="15" hidden="false" customHeight="false" outlineLevel="0" collapsed="false">
      <c r="A49" s="9"/>
      <c r="B49" s="9"/>
      <c r="C49" s="12"/>
      <c r="D49" s="12"/>
      <c r="E49" s="12" t="s">
        <v>47</v>
      </c>
      <c r="F49" s="12"/>
      <c r="G49" s="12"/>
      <c r="H49" s="13"/>
      <c r="I49" s="12"/>
      <c r="J49" s="12"/>
      <c r="K49" s="12"/>
      <c r="L49" s="12"/>
      <c r="M49" s="12"/>
      <c r="N49" s="12"/>
      <c r="O49" s="12"/>
    </row>
    <row r="50" customFormat="false" ht="15" hidden="false" customHeight="false" outlineLevel="0" collapsed="false">
      <c r="A50" s="9"/>
      <c r="B50" s="9"/>
      <c r="C50" s="12"/>
      <c r="D50" s="12"/>
      <c r="E50" s="12" t="s">
        <v>47</v>
      </c>
      <c r="F50" s="12"/>
      <c r="G50" s="12"/>
      <c r="H50" s="13"/>
      <c r="I50" s="12"/>
      <c r="J50" s="12"/>
      <c r="K50" s="12"/>
      <c r="L50" s="12"/>
      <c r="M50" s="12"/>
      <c r="N50" s="12"/>
      <c r="O50" s="12"/>
    </row>
    <row r="51" customFormat="false" ht="15" hidden="false" customHeight="false" outlineLevel="0" collapsed="false">
      <c r="A51" s="9"/>
      <c r="B51" s="9"/>
      <c r="C51" s="12"/>
      <c r="D51" s="12"/>
      <c r="E51" s="12" t="s">
        <v>47</v>
      </c>
      <c r="F51" s="12"/>
      <c r="G51" s="12"/>
      <c r="H51" s="13"/>
      <c r="I51" s="12"/>
      <c r="J51" s="12"/>
      <c r="K51" s="12"/>
      <c r="L51" s="12"/>
      <c r="M51" s="12"/>
      <c r="N51" s="12"/>
      <c r="O51" s="12"/>
    </row>
    <row r="52" customFormat="false" ht="15" hidden="false" customHeight="false" outlineLevel="0" collapsed="false">
      <c r="A52" s="9"/>
      <c r="B52" s="9"/>
      <c r="C52" s="12"/>
      <c r="D52" s="12"/>
      <c r="E52" s="12" t="s">
        <v>47</v>
      </c>
      <c r="F52" s="12"/>
      <c r="G52" s="12"/>
      <c r="H52" s="13"/>
      <c r="I52" s="12"/>
      <c r="J52" s="12"/>
      <c r="K52" s="12"/>
      <c r="L52" s="12"/>
      <c r="M52" s="12"/>
      <c r="N52" s="12"/>
      <c r="O52" s="12"/>
    </row>
    <row r="53" customFormat="false" ht="15" hidden="false" customHeight="false" outlineLevel="0" collapsed="false">
      <c r="A53" s="9"/>
      <c r="B53" s="9"/>
      <c r="C53" s="12"/>
      <c r="D53" s="12"/>
      <c r="E53" s="12" t="s">
        <v>47</v>
      </c>
      <c r="F53" s="12"/>
      <c r="G53" s="12"/>
      <c r="H53" s="13"/>
      <c r="I53" s="12"/>
      <c r="J53" s="12"/>
      <c r="K53" s="12"/>
      <c r="L53" s="12"/>
      <c r="M53" s="12"/>
      <c r="N53" s="12"/>
      <c r="O53" s="12"/>
    </row>
    <row r="54" customFormat="false" ht="15" hidden="false" customHeight="false" outlineLevel="0" collapsed="false">
      <c r="A54" s="9"/>
      <c r="B54" s="9"/>
      <c r="C54" s="12"/>
      <c r="D54" s="12"/>
      <c r="E54" s="12" t="s">
        <v>47</v>
      </c>
      <c r="F54" s="12"/>
      <c r="G54" s="12"/>
      <c r="H54" s="13"/>
      <c r="I54" s="12"/>
      <c r="J54" s="12"/>
      <c r="K54" s="12"/>
      <c r="L54" s="12"/>
      <c r="M54" s="12"/>
      <c r="N54" s="12"/>
      <c r="O54" s="12"/>
    </row>
    <row r="55" customFormat="false" ht="15" hidden="false" customHeight="false" outlineLevel="0" collapsed="false">
      <c r="A55" s="9"/>
      <c r="B55" s="9"/>
      <c r="C55" s="12"/>
      <c r="D55" s="12"/>
      <c r="E55" s="12" t="s">
        <v>47</v>
      </c>
      <c r="F55" s="12"/>
      <c r="G55" s="12"/>
      <c r="H55" s="13"/>
      <c r="I55" s="12"/>
      <c r="J55" s="12"/>
      <c r="K55" s="12"/>
      <c r="L55" s="12"/>
      <c r="M55" s="12"/>
      <c r="N55" s="12"/>
      <c r="O55" s="12"/>
    </row>
    <row r="56" customFormat="false" ht="15" hidden="false" customHeight="false" outlineLevel="0" collapsed="false">
      <c r="A56" s="9"/>
      <c r="B56" s="9"/>
      <c r="C56" s="12"/>
      <c r="D56" s="12"/>
      <c r="E56" s="12" t="s">
        <v>47</v>
      </c>
      <c r="F56" s="12"/>
      <c r="G56" s="12"/>
      <c r="H56" s="13"/>
      <c r="I56" s="12"/>
      <c r="J56" s="12"/>
      <c r="K56" s="12"/>
      <c r="L56" s="12"/>
      <c r="M56" s="12"/>
      <c r="N56" s="12"/>
      <c r="O56" s="12"/>
    </row>
    <row r="57" customFormat="false" ht="15" hidden="false" customHeight="false" outlineLevel="0" collapsed="false">
      <c r="A57" s="9"/>
      <c r="B57" s="9"/>
      <c r="C57" s="12"/>
      <c r="D57" s="12"/>
      <c r="E57" s="12" t="s">
        <v>47</v>
      </c>
      <c r="F57" s="12"/>
      <c r="G57" s="12"/>
      <c r="H57" s="13"/>
      <c r="I57" s="12"/>
      <c r="J57" s="12"/>
      <c r="K57" s="12"/>
      <c r="L57" s="12"/>
      <c r="M57" s="12"/>
      <c r="N57" s="12"/>
      <c r="O57" s="12"/>
    </row>
    <row r="58" customFormat="false" ht="15" hidden="false" customHeight="false" outlineLevel="0" collapsed="false">
      <c r="A58" s="9"/>
      <c r="B58" s="9"/>
      <c r="C58" s="12"/>
      <c r="D58" s="12"/>
      <c r="E58" s="12" t="s">
        <v>47</v>
      </c>
      <c r="F58" s="12"/>
      <c r="G58" s="12"/>
      <c r="H58" s="13"/>
      <c r="I58" s="12"/>
      <c r="J58" s="12"/>
      <c r="K58" s="12"/>
      <c r="L58" s="12"/>
      <c r="M58" s="12"/>
      <c r="N58" s="12"/>
      <c r="O58" s="12"/>
    </row>
    <row r="59" customFormat="false" ht="15" hidden="false" customHeight="false" outlineLevel="0" collapsed="false">
      <c r="A59" s="9"/>
      <c r="B59" s="9"/>
      <c r="C59" s="12"/>
      <c r="D59" s="12"/>
      <c r="E59" s="12" t="s">
        <v>47</v>
      </c>
      <c r="F59" s="12"/>
      <c r="G59" s="12"/>
      <c r="H59" s="13"/>
      <c r="I59" s="12"/>
      <c r="J59" s="12"/>
      <c r="K59" s="12"/>
      <c r="L59" s="12"/>
      <c r="M59" s="12"/>
      <c r="N59" s="12"/>
      <c r="O59" s="12"/>
    </row>
    <row r="60" customFormat="false" ht="15" hidden="false" customHeight="false" outlineLevel="0" collapsed="false">
      <c r="A60" s="9"/>
      <c r="B60" s="9"/>
      <c r="C60" s="12"/>
      <c r="D60" s="12"/>
      <c r="E60" s="12" t="s">
        <v>47</v>
      </c>
      <c r="F60" s="12"/>
      <c r="G60" s="12"/>
      <c r="H60" s="13"/>
      <c r="I60" s="12"/>
      <c r="J60" s="12"/>
      <c r="K60" s="12"/>
      <c r="L60" s="12"/>
      <c r="M60" s="12"/>
      <c r="N60" s="12"/>
      <c r="O60" s="12"/>
    </row>
    <row r="61" customFormat="false" ht="15" hidden="false" customHeight="false" outlineLevel="0" collapsed="false">
      <c r="A61" s="9"/>
      <c r="B61" s="9"/>
      <c r="C61" s="12"/>
      <c r="D61" s="12"/>
      <c r="E61" s="12" t="s">
        <v>47</v>
      </c>
      <c r="F61" s="12"/>
      <c r="G61" s="12"/>
      <c r="H61" s="13"/>
      <c r="I61" s="12"/>
      <c r="J61" s="12"/>
      <c r="K61" s="12"/>
      <c r="L61" s="12"/>
      <c r="M61" s="12"/>
      <c r="N61" s="12"/>
      <c r="O61" s="12"/>
    </row>
    <row r="62" customFormat="false" ht="15" hidden="false" customHeight="false" outlineLevel="0" collapsed="false">
      <c r="A62" s="9"/>
      <c r="B62" s="9"/>
      <c r="C62" s="12"/>
      <c r="D62" s="12"/>
      <c r="E62" s="12" t="s">
        <v>47</v>
      </c>
      <c r="F62" s="12"/>
      <c r="G62" s="12"/>
      <c r="H62" s="13"/>
      <c r="I62" s="12"/>
      <c r="J62" s="12"/>
      <c r="K62" s="12"/>
      <c r="L62" s="12"/>
      <c r="M62" s="12"/>
      <c r="N62" s="12"/>
      <c r="O62" s="12"/>
    </row>
    <row r="63" customFormat="false" ht="15" hidden="false" customHeight="false" outlineLevel="0" collapsed="false">
      <c r="A63" s="9"/>
      <c r="B63" s="9"/>
      <c r="C63" s="12"/>
      <c r="D63" s="12"/>
      <c r="E63" s="12" t="s">
        <v>47</v>
      </c>
      <c r="F63" s="12"/>
      <c r="G63" s="12"/>
      <c r="H63" s="13"/>
      <c r="I63" s="12"/>
      <c r="J63" s="12"/>
      <c r="K63" s="12"/>
      <c r="L63" s="12"/>
      <c r="M63" s="12"/>
      <c r="N63" s="12"/>
      <c r="O63" s="12"/>
    </row>
    <row r="64" customFormat="false" ht="15" hidden="false" customHeight="false" outlineLevel="0" collapsed="false">
      <c r="A64" s="9"/>
      <c r="B64" s="9"/>
      <c r="C64" s="12"/>
      <c r="D64" s="12"/>
      <c r="E64" s="12" t="s">
        <v>47</v>
      </c>
      <c r="F64" s="12"/>
      <c r="G64" s="12"/>
      <c r="H64" s="13"/>
      <c r="I64" s="12"/>
      <c r="J64" s="12"/>
      <c r="K64" s="12"/>
      <c r="L64" s="12"/>
      <c r="M64" s="12"/>
      <c r="N64" s="12"/>
      <c r="O64" s="12"/>
    </row>
    <row r="65" customFormat="false" ht="15" hidden="false" customHeight="false" outlineLevel="0" collapsed="false">
      <c r="A65" s="9"/>
      <c r="B65" s="9"/>
      <c r="C65" s="12"/>
      <c r="D65" s="12"/>
      <c r="E65" s="12" t="s">
        <v>47</v>
      </c>
      <c r="F65" s="12"/>
      <c r="G65" s="12"/>
      <c r="H65" s="13"/>
      <c r="I65" s="12"/>
      <c r="J65" s="12"/>
      <c r="K65" s="12"/>
      <c r="L65" s="12"/>
      <c r="M65" s="12"/>
      <c r="N65" s="12"/>
      <c r="O65" s="12"/>
    </row>
    <row r="66" customFormat="false" ht="15" hidden="false" customHeight="false" outlineLevel="0" collapsed="false">
      <c r="A66" s="9"/>
      <c r="B66" s="9"/>
      <c r="C66" s="12"/>
      <c r="D66" s="12"/>
      <c r="E66" s="12" t="s">
        <v>47</v>
      </c>
      <c r="F66" s="12"/>
      <c r="G66" s="12"/>
      <c r="H66" s="13"/>
      <c r="I66" s="12"/>
      <c r="J66" s="12"/>
      <c r="K66" s="12"/>
      <c r="L66" s="12"/>
      <c r="M66" s="12"/>
      <c r="N66" s="12"/>
      <c r="O66" s="12"/>
    </row>
    <row r="67" customFormat="false" ht="15" hidden="false" customHeight="false" outlineLevel="0" collapsed="false">
      <c r="A67" s="9"/>
      <c r="B67" s="9"/>
      <c r="C67" s="12"/>
      <c r="D67" s="12"/>
      <c r="E67" s="12" t="s">
        <v>47</v>
      </c>
      <c r="F67" s="12"/>
      <c r="G67" s="12"/>
      <c r="H67" s="13"/>
      <c r="I67" s="12"/>
      <c r="J67" s="12"/>
      <c r="K67" s="12"/>
      <c r="L67" s="12"/>
      <c r="M67" s="12"/>
      <c r="N67" s="12"/>
      <c r="O67" s="12"/>
    </row>
    <row r="68" customFormat="false" ht="15" hidden="false" customHeight="false" outlineLevel="0" collapsed="false">
      <c r="A68" s="9"/>
      <c r="B68" s="9"/>
      <c r="C68" s="12"/>
      <c r="D68" s="12"/>
      <c r="E68" s="12" t="s">
        <v>47</v>
      </c>
      <c r="F68" s="12"/>
      <c r="G68" s="12"/>
      <c r="H68" s="13"/>
      <c r="I68" s="12"/>
      <c r="J68" s="12"/>
      <c r="K68" s="12"/>
      <c r="L68" s="12"/>
      <c r="M68" s="12"/>
      <c r="N68" s="12"/>
      <c r="O68" s="12"/>
    </row>
    <row r="69" customFormat="false" ht="15" hidden="false" customHeight="false" outlineLevel="0" collapsed="false">
      <c r="A69" s="9"/>
      <c r="B69" s="9"/>
      <c r="C69" s="12"/>
      <c r="D69" s="12"/>
      <c r="E69" s="12" t="s">
        <v>47</v>
      </c>
      <c r="F69" s="12"/>
      <c r="G69" s="12"/>
      <c r="H69" s="13"/>
      <c r="I69" s="12"/>
      <c r="J69" s="12"/>
      <c r="K69" s="12"/>
      <c r="L69" s="12"/>
      <c r="M69" s="12"/>
      <c r="N69" s="12"/>
      <c r="O69" s="12"/>
    </row>
    <row r="70" customFormat="false" ht="15" hidden="false" customHeight="false" outlineLevel="0" collapsed="false">
      <c r="A70" s="9"/>
      <c r="B70" s="9"/>
      <c r="C70" s="12"/>
      <c r="D70" s="12"/>
      <c r="E70" s="12" t="s">
        <v>47</v>
      </c>
      <c r="F70" s="12"/>
      <c r="G70" s="12"/>
      <c r="H70" s="13"/>
      <c r="I70" s="12"/>
      <c r="J70" s="12"/>
      <c r="K70" s="12"/>
      <c r="L70" s="12"/>
      <c r="M70" s="12"/>
      <c r="N70" s="12"/>
      <c r="O70" s="12"/>
    </row>
    <row r="71" customFormat="false" ht="15" hidden="false" customHeight="false" outlineLevel="0" collapsed="false">
      <c r="A71" s="9"/>
      <c r="B71" s="9"/>
      <c r="C71" s="12"/>
      <c r="D71" s="12"/>
      <c r="E71" s="12" t="s">
        <v>47</v>
      </c>
      <c r="F71" s="12"/>
      <c r="G71" s="12"/>
      <c r="H71" s="13"/>
      <c r="I71" s="12"/>
      <c r="J71" s="12"/>
      <c r="K71" s="12"/>
      <c r="L71" s="12"/>
      <c r="M71" s="12"/>
      <c r="N71" s="12"/>
      <c r="O71" s="12"/>
    </row>
    <row r="72" customFormat="false" ht="15" hidden="false" customHeight="false" outlineLevel="0" collapsed="false">
      <c r="A72" s="9"/>
      <c r="B72" s="9"/>
      <c r="C72" s="12"/>
      <c r="D72" s="12"/>
      <c r="E72" s="12" t="s">
        <v>47</v>
      </c>
      <c r="F72" s="12"/>
      <c r="G72" s="12"/>
      <c r="H72" s="13"/>
      <c r="I72" s="12"/>
      <c r="J72" s="12"/>
      <c r="K72" s="12"/>
      <c r="L72" s="12"/>
      <c r="M72" s="12"/>
      <c r="N72" s="12"/>
      <c r="O72" s="12"/>
    </row>
    <row r="73" customFormat="false" ht="15" hidden="false" customHeight="false" outlineLevel="0" collapsed="false">
      <c r="A73" s="9"/>
      <c r="B73" s="9"/>
      <c r="C73" s="12"/>
      <c r="D73" s="12"/>
      <c r="E73" s="12" t="s">
        <v>47</v>
      </c>
      <c r="F73" s="12"/>
      <c r="G73" s="12"/>
      <c r="H73" s="13"/>
      <c r="I73" s="12"/>
      <c r="J73" s="12"/>
      <c r="K73" s="12"/>
      <c r="L73" s="12"/>
      <c r="M73" s="12"/>
      <c r="N73" s="12"/>
      <c r="O73" s="12"/>
    </row>
    <row r="74" customFormat="false" ht="15" hidden="false" customHeight="false" outlineLevel="0" collapsed="false">
      <c r="A74" s="9"/>
      <c r="B74" s="9"/>
      <c r="C74" s="12"/>
      <c r="D74" s="12"/>
      <c r="E74" s="12" t="s">
        <v>47</v>
      </c>
      <c r="F74" s="12"/>
      <c r="G74" s="12"/>
      <c r="H74" s="13"/>
      <c r="I74" s="12"/>
      <c r="J74" s="12"/>
      <c r="K74" s="12"/>
      <c r="L74" s="12"/>
      <c r="M74" s="12"/>
      <c r="N74" s="12"/>
      <c r="O74" s="12"/>
    </row>
    <row r="75" customFormat="false" ht="15" hidden="false" customHeight="false" outlineLevel="0" collapsed="false">
      <c r="A75" s="9"/>
      <c r="B75" s="9"/>
      <c r="C75" s="12"/>
      <c r="D75" s="12"/>
      <c r="E75" s="12" t="s">
        <v>47</v>
      </c>
      <c r="F75" s="12"/>
      <c r="G75" s="12"/>
      <c r="H75" s="13"/>
      <c r="I75" s="12"/>
      <c r="J75" s="12"/>
      <c r="K75" s="12"/>
      <c r="L75" s="12"/>
      <c r="M75" s="12"/>
      <c r="N75" s="12"/>
      <c r="O75" s="12"/>
    </row>
    <row r="76" customFormat="false" ht="15" hidden="false" customHeight="false" outlineLevel="0" collapsed="false">
      <c r="A76" s="9"/>
      <c r="B76" s="9"/>
      <c r="C76" s="12"/>
      <c r="D76" s="12"/>
      <c r="E76" s="12" t="s">
        <v>47</v>
      </c>
      <c r="F76" s="12"/>
      <c r="G76" s="12"/>
      <c r="H76" s="13"/>
      <c r="I76" s="12"/>
      <c r="J76" s="12"/>
      <c r="K76" s="12"/>
      <c r="L76" s="12"/>
      <c r="M76" s="12"/>
      <c r="N76" s="12"/>
      <c r="O76" s="12"/>
    </row>
    <row r="77" customFormat="false" ht="15" hidden="false" customHeight="false" outlineLevel="0" collapsed="false">
      <c r="A77" s="9"/>
      <c r="B77" s="9"/>
      <c r="C77" s="12"/>
      <c r="D77" s="12"/>
      <c r="E77" s="12" t="s">
        <v>47</v>
      </c>
      <c r="F77" s="12"/>
      <c r="G77" s="12"/>
      <c r="H77" s="13"/>
      <c r="I77" s="12"/>
      <c r="J77" s="12"/>
      <c r="K77" s="12"/>
      <c r="L77" s="12"/>
      <c r="M77" s="12"/>
      <c r="N77" s="12"/>
      <c r="O77" s="12"/>
    </row>
    <row r="78" customFormat="false" ht="15" hidden="false" customHeight="false" outlineLevel="0" collapsed="false">
      <c r="A78" s="9"/>
      <c r="B78" s="9"/>
      <c r="C78" s="12"/>
      <c r="D78" s="12"/>
      <c r="E78" s="12" t="s">
        <v>47</v>
      </c>
      <c r="F78" s="12"/>
      <c r="G78" s="12"/>
      <c r="H78" s="13"/>
      <c r="I78" s="12"/>
      <c r="J78" s="12"/>
      <c r="K78" s="12"/>
      <c r="L78" s="12"/>
      <c r="M78" s="12"/>
      <c r="N78" s="12"/>
      <c r="O78" s="12"/>
    </row>
    <row r="79" customFormat="false" ht="15" hidden="false" customHeight="false" outlineLevel="0" collapsed="false">
      <c r="A79" s="9"/>
      <c r="B79" s="9"/>
      <c r="C79" s="12"/>
      <c r="D79" s="12"/>
      <c r="E79" s="12" t="s">
        <v>47</v>
      </c>
      <c r="F79" s="12"/>
      <c r="G79" s="12"/>
      <c r="H79" s="13"/>
      <c r="I79" s="12"/>
      <c r="J79" s="12"/>
      <c r="K79" s="12"/>
      <c r="L79" s="12"/>
      <c r="M79" s="12"/>
      <c r="N79" s="12"/>
      <c r="O79" s="12"/>
    </row>
    <row r="80" customFormat="false" ht="15" hidden="false" customHeight="false" outlineLevel="0" collapsed="false">
      <c r="A80" s="9"/>
      <c r="B80" s="9"/>
      <c r="C80" s="12"/>
      <c r="D80" s="12"/>
      <c r="E80" s="12" t="s">
        <v>47</v>
      </c>
      <c r="F80" s="12"/>
      <c r="G80" s="12"/>
      <c r="H80" s="13"/>
      <c r="I80" s="12"/>
      <c r="J80" s="12"/>
      <c r="K80" s="12"/>
      <c r="L80" s="12"/>
      <c r="M80" s="12"/>
      <c r="N80" s="12"/>
      <c r="O80" s="12"/>
    </row>
    <row r="81" customFormat="false" ht="15" hidden="false" customHeight="false" outlineLevel="0" collapsed="false">
      <c r="A81" s="9"/>
      <c r="B81" s="9"/>
      <c r="C81" s="12"/>
      <c r="D81" s="12"/>
      <c r="E81" s="12" t="s">
        <v>47</v>
      </c>
      <c r="F81" s="12"/>
      <c r="G81" s="12"/>
      <c r="H81" s="13"/>
      <c r="I81" s="12"/>
      <c r="J81" s="12"/>
      <c r="K81" s="12"/>
      <c r="L81" s="12"/>
      <c r="M81" s="12"/>
      <c r="N81" s="12"/>
      <c r="O81" s="12"/>
    </row>
    <row r="82" customFormat="false" ht="15" hidden="false" customHeight="false" outlineLevel="0" collapsed="false">
      <c r="A82" s="9"/>
      <c r="B82" s="9"/>
      <c r="C82" s="12"/>
      <c r="D82" s="12"/>
      <c r="E82" s="12" t="s">
        <v>47</v>
      </c>
      <c r="F82" s="12"/>
      <c r="G82" s="12"/>
      <c r="H82" s="13"/>
      <c r="I82" s="12"/>
      <c r="J82" s="12"/>
      <c r="K82" s="12"/>
      <c r="L82" s="12"/>
      <c r="M82" s="12"/>
      <c r="N82" s="12"/>
      <c r="O82" s="12"/>
    </row>
    <row r="83" customFormat="false" ht="15" hidden="false" customHeight="false" outlineLevel="0" collapsed="false">
      <c r="A83" s="9"/>
      <c r="B83" s="9"/>
      <c r="C83" s="12"/>
      <c r="D83" s="12"/>
      <c r="E83" s="12" t="s">
        <v>47</v>
      </c>
      <c r="F83" s="12"/>
      <c r="G83" s="12"/>
      <c r="H83" s="13"/>
      <c r="I83" s="12"/>
      <c r="J83" s="12"/>
      <c r="K83" s="12"/>
      <c r="L83" s="12"/>
      <c r="M83" s="12"/>
      <c r="N83" s="12"/>
      <c r="O83" s="12"/>
    </row>
    <row r="84" customFormat="false" ht="15" hidden="false" customHeight="false" outlineLevel="0" collapsed="false">
      <c r="A84" s="9"/>
      <c r="B84" s="9"/>
      <c r="C84" s="12"/>
      <c r="D84" s="12"/>
      <c r="E84" s="12" t="s">
        <v>47</v>
      </c>
      <c r="F84" s="12"/>
      <c r="G84" s="12"/>
      <c r="H84" s="13"/>
      <c r="I84" s="12"/>
      <c r="J84" s="12"/>
      <c r="K84" s="12"/>
      <c r="L84" s="12"/>
      <c r="M84" s="12"/>
      <c r="N84" s="12"/>
      <c r="O84" s="12"/>
    </row>
    <row r="85" customFormat="false" ht="15" hidden="false" customHeight="false" outlineLevel="0" collapsed="false">
      <c r="A85" s="9"/>
      <c r="B85" s="9"/>
      <c r="C85" s="12"/>
      <c r="D85" s="12"/>
      <c r="E85" s="12" t="s">
        <v>47</v>
      </c>
      <c r="F85" s="12"/>
      <c r="G85" s="12"/>
      <c r="H85" s="13"/>
      <c r="I85" s="12"/>
      <c r="J85" s="12"/>
      <c r="K85" s="12"/>
      <c r="L85" s="12"/>
      <c r="M85" s="12"/>
      <c r="N85" s="12"/>
      <c r="O85" s="12"/>
    </row>
    <row r="86" customFormat="false" ht="15" hidden="false" customHeight="false" outlineLevel="0" collapsed="false">
      <c r="A86" s="9"/>
      <c r="B86" s="9"/>
      <c r="C86" s="12"/>
      <c r="D86" s="12"/>
      <c r="E86" s="12" t="s">
        <v>47</v>
      </c>
      <c r="F86" s="12"/>
      <c r="G86" s="12"/>
      <c r="H86" s="13"/>
      <c r="I86" s="12"/>
      <c r="J86" s="12"/>
      <c r="K86" s="12"/>
      <c r="L86" s="12"/>
      <c r="M86" s="12"/>
      <c r="N86" s="12"/>
      <c r="O86" s="12"/>
    </row>
    <row r="87" customFormat="false" ht="15" hidden="false" customHeight="false" outlineLevel="0" collapsed="false">
      <c r="A87" s="9"/>
      <c r="B87" s="9"/>
      <c r="C87" s="12"/>
      <c r="D87" s="12"/>
      <c r="E87" s="12" t="s">
        <v>47</v>
      </c>
      <c r="F87" s="12"/>
      <c r="G87" s="12"/>
      <c r="H87" s="13"/>
      <c r="I87" s="12"/>
      <c r="J87" s="12"/>
      <c r="K87" s="12"/>
      <c r="L87" s="12"/>
      <c r="M87" s="12"/>
      <c r="N87" s="12"/>
      <c r="O87" s="12"/>
    </row>
    <row r="88" customFormat="false" ht="15" hidden="false" customHeight="false" outlineLevel="0" collapsed="false">
      <c r="A88" s="9"/>
      <c r="B88" s="9"/>
      <c r="C88" s="12"/>
      <c r="D88" s="12"/>
      <c r="E88" s="12" t="s">
        <v>47</v>
      </c>
      <c r="F88" s="12"/>
      <c r="G88" s="12"/>
      <c r="H88" s="13"/>
      <c r="I88" s="12"/>
      <c r="J88" s="12"/>
      <c r="K88" s="12"/>
      <c r="L88" s="12"/>
      <c r="M88" s="12"/>
      <c r="N88" s="12"/>
      <c r="O88" s="12"/>
    </row>
    <row r="89" customFormat="false" ht="15" hidden="false" customHeight="false" outlineLevel="0" collapsed="false">
      <c r="A89" s="9"/>
      <c r="B89" s="9"/>
      <c r="C89" s="12"/>
      <c r="D89" s="12"/>
      <c r="E89" s="12" t="s">
        <v>47</v>
      </c>
      <c r="F89" s="12"/>
      <c r="G89" s="12"/>
      <c r="H89" s="13"/>
      <c r="I89" s="12"/>
      <c r="J89" s="12"/>
      <c r="K89" s="12"/>
      <c r="L89" s="12"/>
      <c r="M89" s="12"/>
      <c r="N89" s="12"/>
      <c r="O89" s="12"/>
    </row>
    <row r="90" customFormat="false" ht="15" hidden="false" customHeight="false" outlineLevel="0" collapsed="false">
      <c r="A90" s="9"/>
      <c r="B90" s="9"/>
      <c r="C90" s="12"/>
      <c r="D90" s="12"/>
      <c r="E90" s="12" t="s">
        <v>47</v>
      </c>
      <c r="F90" s="12"/>
      <c r="G90" s="12"/>
      <c r="H90" s="13"/>
      <c r="I90" s="12"/>
      <c r="J90" s="12"/>
      <c r="K90" s="12"/>
      <c r="L90" s="12"/>
      <c r="M90" s="12"/>
      <c r="N90" s="12"/>
      <c r="O90" s="12"/>
    </row>
    <row r="91" customFormat="false" ht="15" hidden="false" customHeight="false" outlineLevel="0" collapsed="false">
      <c r="A91" s="9"/>
      <c r="B91" s="9"/>
      <c r="C91" s="12"/>
      <c r="D91" s="12"/>
      <c r="E91" s="12" t="s">
        <v>47</v>
      </c>
      <c r="F91" s="12"/>
      <c r="G91" s="12"/>
      <c r="H91" s="13"/>
      <c r="I91" s="12"/>
      <c r="J91" s="12"/>
      <c r="K91" s="12"/>
      <c r="L91" s="12"/>
      <c r="M91" s="12"/>
      <c r="N91" s="12"/>
      <c r="O91" s="12"/>
    </row>
    <row r="92" customFormat="false" ht="15" hidden="false" customHeight="false" outlineLevel="0" collapsed="false">
      <c r="A92" s="9"/>
      <c r="B92" s="9"/>
      <c r="C92" s="12"/>
      <c r="D92" s="12"/>
      <c r="E92" s="12" t="s">
        <v>47</v>
      </c>
      <c r="F92" s="12"/>
      <c r="G92" s="12"/>
      <c r="H92" s="13"/>
      <c r="I92" s="12"/>
      <c r="J92" s="12"/>
      <c r="K92" s="12"/>
      <c r="L92" s="12"/>
      <c r="M92" s="12"/>
      <c r="N92" s="12"/>
      <c r="O92" s="12"/>
    </row>
    <row r="93" customFormat="false" ht="15" hidden="false" customHeight="false" outlineLevel="0" collapsed="false">
      <c r="A93" s="9"/>
      <c r="B93" s="9"/>
      <c r="C93" s="12"/>
      <c r="D93" s="12"/>
      <c r="E93" s="12" t="s">
        <v>47</v>
      </c>
      <c r="F93" s="12"/>
      <c r="G93" s="12"/>
      <c r="H93" s="13"/>
      <c r="I93" s="12"/>
      <c r="J93" s="12"/>
      <c r="K93" s="12"/>
      <c r="L93" s="12"/>
      <c r="M93" s="12"/>
      <c r="N93" s="12"/>
      <c r="O93" s="12"/>
    </row>
    <row r="94" customFormat="false" ht="15" hidden="false" customHeight="false" outlineLevel="0" collapsed="false">
      <c r="A94" s="9"/>
      <c r="B94" s="9"/>
      <c r="C94" s="12"/>
      <c r="D94" s="12"/>
      <c r="E94" s="12" t="s">
        <v>47</v>
      </c>
      <c r="F94" s="12"/>
      <c r="G94" s="12"/>
      <c r="H94" s="13"/>
      <c r="I94" s="12"/>
      <c r="J94" s="12"/>
      <c r="K94" s="12"/>
      <c r="L94" s="12"/>
      <c r="M94" s="12"/>
      <c r="N94" s="12"/>
      <c r="O94" s="12"/>
    </row>
    <row r="95" customFormat="false" ht="15" hidden="false" customHeight="false" outlineLevel="0" collapsed="false">
      <c r="A95" s="9"/>
      <c r="B95" s="9"/>
      <c r="C95" s="12"/>
      <c r="D95" s="12"/>
      <c r="E95" s="12" t="s">
        <v>47</v>
      </c>
      <c r="F95" s="12"/>
      <c r="G95" s="12"/>
      <c r="H95" s="13"/>
      <c r="I95" s="12"/>
      <c r="J95" s="12"/>
      <c r="K95" s="12"/>
      <c r="L95" s="12"/>
      <c r="M95" s="12"/>
      <c r="N95" s="12"/>
      <c r="O95" s="12"/>
    </row>
    <row r="96" customFormat="false" ht="15" hidden="false" customHeight="false" outlineLevel="0" collapsed="false">
      <c r="A96" s="9"/>
      <c r="B96" s="9"/>
      <c r="C96" s="12"/>
      <c r="D96" s="12"/>
      <c r="E96" s="12" t="s">
        <v>47</v>
      </c>
      <c r="F96" s="12"/>
      <c r="G96" s="12"/>
      <c r="H96" s="13"/>
      <c r="I96" s="12"/>
      <c r="J96" s="12"/>
      <c r="K96" s="12"/>
      <c r="L96" s="12"/>
      <c r="M96" s="12"/>
      <c r="N96" s="12"/>
      <c r="O96" s="12"/>
    </row>
    <row r="97" customFormat="false" ht="15" hidden="false" customHeight="false" outlineLevel="0" collapsed="false">
      <c r="A97" s="9"/>
      <c r="B97" s="9"/>
      <c r="C97" s="12"/>
      <c r="D97" s="12"/>
      <c r="E97" s="12" t="s">
        <v>47</v>
      </c>
      <c r="F97" s="12"/>
      <c r="G97" s="12"/>
      <c r="H97" s="13"/>
      <c r="I97" s="12"/>
      <c r="J97" s="12"/>
      <c r="K97" s="12"/>
      <c r="L97" s="12"/>
      <c r="M97" s="12"/>
      <c r="N97" s="12"/>
      <c r="O97" s="12"/>
    </row>
    <row r="98" customFormat="false" ht="15" hidden="false" customHeight="false" outlineLevel="0" collapsed="false">
      <c r="A98" s="9"/>
      <c r="B98" s="9"/>
      <c r="C98" s="12"/>
      <c r="D98" s="12"/>
      <c r="E98" s="12" t="s">
        <v>47</v>
      </c>
      <c r="F98" s="12"/>
      <c r="G98" s="12"/>
      <c r="H98" s="13"/>
      <c r="I98" s="12"/>
      <c r="J98" s="12"/>
      <c r="K98" s="12"/>
      <c r="L98" s="12"/>
      <c r="M98" s="12"/>
      <c r="N98" s="12"/>
      <c r="O98" s="12"/>
    </row>
    <row r="99" customFormat="false" ht="15" hidden="false" customHeight="false" outlineLevel="0" collapsed="false">
      <c r="A99" s="9"/>
      <c r="B99" s="9"/>
      <c r="C99" s="12"/>
      <c r="D99" s="12"/>
      <c r="E99" s="12" t="s">
        <v>47</v>
      </c>
      <c r="F99" s="12"/>
      <c r="G99" s="12"/>
      <c r="H99" s="13"/>
      <c r="I99" s="12"/>
      <c r="J99" s="12"/>
      <c r="K99" s="12"/>
      <c r="L99" s="12"/>
      <c r="M99" s="12"/>
      <c r="N99" s="12"/>
      <c r="O99" s="12"/>
    </row>
    <row r="100" customFormat="false" ht="15" hidden="false" customHeight="false" outlineLevel="0" collapsed="false">
      <c r="A100" s="9"/>
      <c r="B100" s="9"/>
      <c r="C100" s="12"/>
      <c r="D100" s="12"/>
      <c r="E100" s="12" t="s">
        <v>47</v>
      </c>
      <c r="F100" s="12"/>
      <c r="G100" s="12"/>
      <c r="H100" s="13"/>
      <c r="I100" s="12"/>
      <c r="J100" s="12"/>
      <c r="K100" s="12"/>
      <c r="L100" s="12"/>
      <c r="M100" s="12"/>
      <c r="N100" s="12"/>
      <c r="O100" s="12"/>
    </row>
    <row r="101" customFormat="false" ht="15" hidden="false" customHeight="false" outlineLevel="0" collapsed="false">
      <c r="A101" s="9"/>
      <c r="B101" s="9"/>
      <c r="C101" s="12"/>
      <c r="D101" s="12"/>
      <c r="E101" s="12" t="s">
        <v>47</v>
      </c>
      <c r="F101" s="12"/>
      <c r="G101" s="12"/>
      <c r="H101" s="13"/>
      <c r="I101" s="12"/>
      <c r="J101" s="12"/>
      <c r="K101" s="12"/>
      <c r="L101" s="12"/>
      <c r="M101" s="12"/>
      <c r="N101" s="12"/>
      <c r="O101" s="12"/>
    </row>
    <row r="102" customFormat="false" ht="15" hidden="false" customHeight="false" outlineLevel="0" collapsed="false">
      <c r="A102" s="9"/>
      <c r="B102" s="9"/>
      <c r="C102" s="12"/>
      <c r="D102" s="12"/>
      <c r="E102" s="12" t="s">
        <v>47</v>
      </c>
      <c r="F102" s="12"/>
      <c r="G102" s="12"/>
      <c r="H102" s="13"/>
      <c r="I102" s="12"/>
      <c r="J102" s="12"/>
      <c r="K102" s="12"/>
      <c r="L102" s="12"/>
      <c r="M102" s="12"/>
      <c r="N102" s="12"/>
      <c r="O102" s="12"/>
    </row>
    <row r="103" customFormat="false" ht="15" hidden="false" customHeight="false" outlineLevel="0" collapsed="false">
      <c r="A103" s="9"/>
      <c r="B103" s="9"/>
      <c r="C103" s="12"/>
      <c r="D103" s="12"/>
      <c r="E103" s="12" t="s">
        <v>47</v>
      </c>
      <c r="F103" s="12"/>
      <c r="G103" s="12"/>
      <c r="H103" s="13"/>
      <c r="I103" s="12"/>
      <c r="J103" s="12"/>
      <c r="K103" s="12"/>
      <c r="L103" s="12"/>
      <c r="M103" s="12"/>
      <c r="N103" s="12"/>
      <c r="O103" s="12"/>
    </row>
    <row r="104" customFormat="false" ht="15" hidden="false" customHeight="false" outlineLevel="0" collapsed="false">
      <c r="A104" s="9"/>
      <c r="B104" s="9"/>
      <c r="C104" s="12"/>
      <c r="D104" s="12"/>
      <c r="E104" s="12" t="s">
        <v>47</v>
      </c>
      <c r="F104" s="12"/>
      <c r="G104" s="12"/>
      <c r="H104" s="13"/>
      <c r="I104" s="12"/>
      <c r="J104" s="12"/>
      <c r="K104" s="12"/>
      <c r="L104" s="12"/>
      <c r="M104" s="12"/>
      <c r="N104" s="12"/>
      <c r="O104" s="12"/>
    </row>
  </sheetData>
  <autoFilter ref="A4:O104"/>
  <mergeCells count="2">
    <mergeCell ref="A1:O1"/>
    <mergeCell ref="A2:O2"/>
  </mergeCells>
  <dataValidations count="3">
    <dataValidation allowBlank="true" errorStyle="stop" operator="between" showDropDown="false" showErrorMessage="false" showInputMessage="false" sqref="H5:H104" type="list">
      <formula1>"Integrante,Tutor/Apoderado,Representante,Tesorero/a,Responsable,Autoriza gastos,Beneficiario,Otro"</formula1>
      <formula2>0</formula2>
    </dataValidation>
    <dataValidation allowBlank="true" errorStyle="stop" operator="between" showDropDown="false" showErrorMessage="false" showInputMessage="false" sqref="I5:I104" type="list">
      <formula1>"BancoEstado,Santander,BCI,Scotiabank,Itau,Security,Banco de Chile,Banco Falabella,Banco Ripley,Otro"</formula1>
      <formula2>0</formula2>
    </dataValidation>
    <dataValidation allowBlank="true" errorStyle="stop" operator="between" showDropDown="false" showErrorMessage="false" showInputMessage="false" sqref="J5:J104" type="list">
      <formula1>TiposCuenta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&amp;LTesorería Multiorganizacional&amp;RPágina &amp;P de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" ySplit="4" topLeftCell="J5" activePane="bottomRight" state="frozen"/>
      <selection pane="topLeft" activeCell="A1" activeCellId="0" sqref="A1"/>
      <selection pane="topRight" activeCell="J1" activeCellId="0" sqref="J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4" min="13" style="0" width="24"/>
    <col collapsed="false" customWidth="true" hidden="false" outlineLevel="0" max="15" min="15" style="0" width="28"/>
    <col collapsed="false" customWidth="true" hidden="false" outlineLevel="0" max="16" min="16" style="0" width="20"/>
    <col collapsed="false" customWidth="true" hidden="false" outlineLevel="0" max="18" min="17" style="0" width="18"/>
    <col collapsed="false" customWidth="true" hidden="false" outlineLevel="0" max="19" min="19" style="0" width="28"/>
    <col collapsed="false" customWidth="true" hidden="false" outlineLevel="0" max="20" min="20" style="0" width="22"/>
    <col collapsed="false" customWidth="true" hidden="false" outlineLevel="0" max="21" min="21" style="0" width="28"/>
    <col collapsed="false" customWidth="true" hidden="false" outlineLevel="0" max="22" min="22" style="0" width="15"/>
    <col collapsed="false" customWidth="true" hidden="false" outlineLevel="0" max="23" min="23" style="0" width="34"/>
  </cols>
  <sheetData>
    <row r="1" customFormat="false" ht="27.75" hidden="false" customHeight="true" outlineLevel="0" collapsed="false">
      <c r="A1" s="1" t="s">
        <v>352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30" hidden="false" customHeight="true" outlineLevel="0" collapsed="false">
      <c r="A2" s="2" t="s">
        <v>353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customFormat="false" ht="15" hidden="false" customHeight="false" outlineLevel="0" collapsed="false">
      <c r="A4" s="97" t="s">
        <v>303</v>
      </c>
      <c r="B4" s="97" t="s">
        <v>15</v>
      </c>
      <c r="C4" s="97" t="s">
        <v>354</v>
      </c>
      <c r="D4" s="97" t="s">
        <v>355</v>
      </c>
      <c r="E4" s="97" t="s">
        <v>356</v>
      </c>
      <c r="F4" s="97" t="s">
        <v>357</v>
      </c>
      <c r="G4" s="97" t="s">
        <v>17</v>
      </c>
      <c r="H4" s="97" t="s">
        <v>358</v>
      </c>
      <c r="I4" s="97" t="s">
        <v>18</v>
      </c>
      <c r="J4" s="97" t="s">
        <v>359</v>
      </c>
      <c r="K4" s="97" t="s">
        <v>30</v>
      </c>
      <c r="L4" s="97" t="s">
        <v>306</v>
      </c>
      <c r="M4" s="97" t="s">
        <v>360</v>
      </c>
      <c r="N4" s="97" t="s">
        <v>361</v>
      </c>
      <c r="O4" s="97" t="s">
        <v>362</v>
      </c>
      <c r="P4" s="97" t="s">
        <v>308</v>
      </c>
      <c r="Q4" s="97" t="s">
        <v>309</v>
      </c>
      <c r="R4" s="97" t="s">
        <v>310</v>
      </c>
      <c r="S4" s="97" t="s">
        <v>311</v>
      </c>
      <c r="T4" s="97" t="s">
        <v>203</v>
      </c>
      <c r="U4" s="97" t="s">
        <v>363</v>
      </c>
      <c r="V4" s="97" t="s">
        <v>239</v>
      </c>
      <c r="W4" s="97" t="s">
        <v>85</v>
      </c>
    </row>
    <row r="5" customFormat="false" ht="15" hidden="false" customHeight="false" outlineLevel="0" collapsed="false">
      <c r="A5" s="9" t="s">
        <v>364</v>
      </c>
      <c r="B5" s="11" t="n">
        <v>46091</v>
      </c>
      <c r="C5" s="9" t="s">
        <v>38</v>
      </c>
      <c r="D5" s="9" t="s">
        <v>262</v>
      </c>
      <c r="E5" s="9" t="s">
        <v>263</v>
      </c>
      <c r="F5" s="9" t="s">
        <v>65</v>
      </c>
      <c r="G5" s="9" t="s">
        <v>20</v>
      </c>
      <c r="H5" s="9" t="s">
        <v>261</v>
      </c>
      <c r="I5" s="5" t="n">
        <v>3000</v>
      </c>
      <c r="J5" s="9" t="s">
        <v>87</v>
      </c>
      <c r="K5" s="9" t="s">
        <v>86</v>
      </c>
      <c r="L5" s="9" t="s">
        <v>88</v>
      </c>
      <c r="M5" s="9"/>
      <c r="N5" s="9"/>
      <c r="O5" s="9"/>
      <c r="P5" s="9"/>
      <c r="Q5" s="9"/>
      <c r="R5" s="9"/>
      <c r="S5" s="9"/>
      <c r="T5" s="9"/>
      <c r="U5" s="9" t="s">
        <v>365</v>
      </c>
      <c r="V5" s="9" t="s">
        <v>264</v>
      </c>
      <c r="W5" s="9" t="s">
        <v>366</v>
      </c>
    </row>
    <row r="6" customFormat="false" ht="15" hidden="false" customHeight="false" outlineLevel="0" collapsed="false">
      <c r="A6" s="9" t="s">
        <v>367</v>
      </c>
      <c r="B6" s="11" t="n">
        <v>46122</v>
      </c>
      <c r="C6" s="9" t="s">
        <v>38</v>
      </c>
      <c r="D6" s="9" t="s">
        <v>262</v>
      </c>
      <c r="E6" s="9" t="s">
        <v>263</v>
      </c>
      <c r="F6" s="9" t="s">
        <v>66</v>
      </c>
      <c r="G6" s="9" t="s">
        <v>20</v>
      </c>
      <c r="H6" s="9" t="s">
        <v>261</v>
      </c>
      <c r="I6" s="5" t="n">
        <v>3000</v>
      </c>
      <c r="J6" s="9" t="s">
        <v>87</v>
      </c>
      <c r="K6" s="9" t="s">
        <v>86</v>
      </c>
      <c r="L6" s="9" t="s">
        <v>88</v>
      </c>
      <c r="M6" s="9"/>
      <c r="N6" s="9"/>
      <c r="O6" s="9"/>
      <c r="P6" s="9"/>
      <c r="Q6" s="9"/>
      <c r="R6" s="9"/>
      <c r="S6" s="9"/>
      <c r="T6" s="9"/>
      <c r="U6" s="9" t="s">
        <v>365</v>
      </c>
      <c r="V6" s="9" t="s">
        <v>264</v>
      </c>
      <c r="W6" s="9" t="s">
        <v>366</v>
      </c>
    </row>
    <row r="7" customFormat="false" ht="15" hidden="false" customHeight="false" outlineLevel="0" collapsed="false">
      <c r="A7" s="9" t="s">
        <v>368</v>
      </c>
      <c r="B7" s="11" t="n">
        <v>46152</v>
      </c>
      <c r="C7" s="9" t="s">
        <v>38</v>
      </c>
      <c r="D7" s="9" t="s">
        <v>262</v>
      </c>
      <c r="E7" s="9" t="s">
        <v>263</v>
      </c>
      <c r="F7" s="9" t="s">
        <v>67</v>
      </c>
      <c r="G7" s="9" t="s">
        <v>20</v>
      </c>
      <c r="H7" s="9" t="s">
        <v>261</v>
      </c>
      <c r="I7" s="5" t="n">
        <v>3000</v>
      </c>
      <c r="J7" s="9" t="s">
        <v>87</v>
      </c>
      <c r="K7" s="9" t="s">
        <v>86</v>
      </c>
      <c r="L7" s="9" t="s">
        <v>88</v>
      </c>
      <c r="M7" s="9"/>
      <c r="N7" s="9"/>
      <c r="O7" s="9"/>
      <c r="P7" s="9"/>
      <c r="Q7" s="9"/>
      <c r="R7" s="9"/>
      <c r="S7" s="9"/>
      <c r="T7" s="9"/>
      <c r="U7" s="9" t="s">
        <v>365</v>
      </c>
      <c r="V7" s="9" t="s">
        <v>264</v>
      </c>
      <c r="W7" s="9" t="s">
        <v>366</v>
      </c>
    </row>
    <row r="8" customFormat="false" ht="15" hidden="false" customHeight="false" outlineLevel="0" collapsed="false">
      <c r="A8" s="9" t="s">
        <v>369</v>
      </c>
      <c r="B8" s="11" t="n">
        <v>46192</v>
      </c>
      <c r="C8" s="9" t="s">
        <v>38</v>
      </c>
      <c r="D8" s="9" t="s">
        <v>262</v>
      </c>
      <c r="E8" s="9" t="s">
        <v>263</v>
      </c>
      <c r="F8" s="9" t="s">
        <v>68</v>
      </c>
      <c r="G8" s="9" t="s">
        <v>20</v>
      </c>
      <c r="H8" s="9" t="s">
        <v>261</v>
      </c>
      <c r="I8" s="5" t="n">
        <v>3000</v>
      </c>
      <c r="J8" s="9" t="s">
        <v>87</v>
      </c>
      <c r="K8" s="9" t="s">
        <v>86</v>
      </c>
      <c r="L8" s="9" t="s">
        <v>88</v>
      </c>
      <c r="M8" s="9"/>
      <c r="N8" s="9"/>
      <c r="O8" s="9"/>
      <c r="P8" s="9"/>
      <c r="Q8" s="9"/>
      <c r="R8" s="9"/>
      <c r="S8" s="9"/>
      <c r="T8" s="9"/>
      <c r="U8" s="9" t="s">
        <v>365</v>
      </c>
      <c r="V8" s="9" t="s">
        <v>264</v>
      </c>
      <c r="W8" s="9" t="s">
        <v>366</v>
      </c>
    </row>
    <row r="9" customFormat="false" ht="15" hidden="false" customHeight="false" outlineLevel="0" collapsed="false">
      <c r="A9" s="9" t="s">
        <v>370</v>
      </c>
      <c r="B9" s="11" t="n">
        <v>46213</v>
      </c>
      <c r="C9" s="9" t="s">
        <v>38</v>
      </c>
      <c r="D9" s="9" t="s">
        <v>262</v>
      </c>
      <c r="E9" s="9" t="s">
        <v>263</v>
      </c>
      <c r="F9" s="9" t="s">
        <v>69</v>
      </c>
      <c r="G9" s="9" t="s">
        <v>20</v>
      </c>
      <c r="H9" s="9" t="s">
        <v>261</v>
      </c>
      <c r="I9" s="5" t="n">
        <v>3000</v>
      </c>
      <c r="J9" s="9" t="s">
        <v>87</v>
      </c>
      <c r="K9" s="9" t="s">
        <v>86</v>
      </c>
      <c r="L9" s="9" t="s">
        <v>88</v>
      </c>
      <c r="M9" s="9"/>
      <c r="N9" s="9"/>
      <c r="O9" s="9"/>
      <c r="P9" s="9"/>
      <c r="Q9" s="9"/>
      <c r="R9" s="9"/>
      <c r="S9" s="9"/>
      <c r="T9" s="9"/>
      <c r="U9" s="9" t="s">
        <v>365</v>
      </c>
      <c r="V9" s="9" t="s">
        <v>264</v>
      </c>
      <c r="W9" s="9" t="s">
        <v>366</v>
      </c>
    </row>
    <row r="10" customFormat="false" ht="15" hidden="false" customHeight="false" outlineLevel="0" collapsed="false">
      <c r="A10" s="9" t="s">
        <v>371</v>
      </c>
      <c r="B10" s="11" t="n">
        <v>46178.4166666667</v>
      </c>
      <c r="C10" s="9" t="s">
        <v>38</v>
      </c>
      <c r="D10" s="9" t="s">
        <v>262</v>
      </c>
      <c r="E10" s="9" t="s">
        <v>270</v>
      </c>
      <c r="F10" s="9" t="s">
        <v>76</v>
      </c>
      <c r="G10" s="9" t="s">
        <v>20</v>
      </c>
      <c r="H10" s="9" t="s">
        <v>261</v>
      </c>
      <c r="I10" s="5" t="n">
        <v>1000</v>
      </c>
      <c r="J10" s="9" t="s">
        <v>87</v>
      </c>
      <c r="K10" s="9" t="s">
        <v>86</v>
      </c>
      <c r="L10" s="9" t="s">
        <v>88</v>
      </c>
      <c r="M10" s="9"/>
      <c r="N10" s="9"/>
      <c r="O10" s="9"/>
      <c r="P10" s="9"/>
      <c r="Q10" s="9"/>
      <c r="R10" s="9"/>
      <c r="S10" s="9"/>
      <c r="T10" s="9"/>
      <c r="U10" s="9" t="s">
        <v>365</v>
      </c>
      <c r="V10" s="9" t="s">
        <v>264</v>
      </c>
      <c r="W10" s="9" t="s">
        <v>366</v>
      </c>
    </row>
    <row r="11" customFormat="false" ht="15" hidden="false" customHeight="false" outlineLevel="0" collapsed="false">
      <c r="A11" s="9" t="s">
        <v>372</v>
      </c>
      <c r="B11" s="11" t="n">
        <v>46178.4166666667</v>
      </c>
      <c r="C11" s="9" t="s">
        <v>38</v>
      </c>
      <c r="D11" s="9" t="s">
        <v>262</v>
      </c>
      <c r="E11" s="9" t="s">
        <v>270</v>
      </c>
      <c r="F11" s="9" t="s">
        <v>77</v>
      </c>
      <c r="G11" s="9" t="s">
        <v>373</v>
      </c>
      <c r="H11" s="9" t="s">
        <v>261</v>
      </c>
      <c r="I11" s="5" t="n">
        <v>2000</v>
      </c>
      <c r="J11" s="9" t="s">
        <v>87</v>
      </c>
      <c r="K11" s="9" t="s">
        <v>86</v>
      </c>
      <c r="L11" s="9" t="s">
        <v>88</v>
      </c>
      <c r="M11" s="9"/>
      <c r="N11" s="9"/>
      <c r="O11" s="9"/>
      <c r="P11" s="9"/>
      <c r="Q11" s="9"/>
      <c r="R11" s="9"/>
      <c r="S11" s="9"/>
      <c r="T11" s="9"/>
      <c r="U11" s="9" t="s">
        <v>365</v>
      </c>
      <c r="V11" s="9" t="s">
        <v>264</v>
      </c>
      <c r="W11" s="9" t="s">
        <v>366</v>
      </c>
    </row>
    <row r="12" customFormat="false" ht="15" hidden="false" customHeight="false" outlineLevel="0" collapsed="false">
      <c r="A12" s="9" t="s">
        <v>374</v>
      </c>
      <c r="B12" s="11" t="n">
        <v>46091</v>
      </c>
      <c r="C12" s="9" t="s">
        <v>38</v>
      </c>
      <c r="D12" s="9" t="s">
        <v>262</v>
      </c>
      <c r="E12" s="9" t="s">
        <v>263</v>
      </c>
      <c r="F12" s="9" t="s">
        <v>65</v>
      </c>
      <c r="G12" s="9" t="s">
        <v>20</v>
      </c>
      <c r="H12" s="9" t="s">
        <v>261</v>
      </c>
      <c r="I12" s="5" t="n">
        <v>3000</v>
      </c>
      <c r="J12" s="9" t="s">
        <v>90</v>
      </c>
      <c r="K12" s="9" t="s">
        <v>89</v>
      </c>
      <c r="L12" s="9" t="s">
        <v>91</v>
      </c>
      <c r="M12" s="9"/>
      <c r="N12" s="9"/>
      <c r="O12" s="9"/>
      <c r="P12" s="9"/>
      <c r="Q12" s="9"/>
      <c r="R12" s="9"/>
      <c r="S12" s="9"/>
      <c r="T12" s="9"/>
      <c r="U12" s="9" t="s">
        <v>365</v>
      </c>
      <c r="V12" s="9" t="s">
        <v>264</v>
      </c>
      <c r="W12" s="9" t="s">
        <v>366</v>
      </c>
    </row>
    <row r="13" customFormat="false" ht="15" hidden="false" customHeight="false" outlineLevel="0" collapsed="false">
      <c r="A13" s="9" t="s">
        <v>375</v>
      </c>
      <c r="B13" s="11" t="n">
        <v>46178.4166666667</v>
      </c>
      <c r="C13" s="9" t="s">
        <v>38</v>
      </c>
      <c r="D13" s="9" t="s">
        <v>262</v>
      </c>
      <c r="E13" s="9" t="s">
        <v>270</v>
      </c>
      <c r="F13" s="9" t="s">
        <v>76</v>
      </c>
      <c r="G13" s="9" t="s">
        <v>20</v>
      </c>
      <c r="H13" s="9" t="s">
        <v>261</v>
      </c>
      <c r="I13" s="5" t="n">
        <v>1000</v>
      </c>
      <c r="J13" s="9" t="s">
        <v>90</v>
      </c>
      <c r="K13" s="9" t="s">
        <v>89</v>
      </c>
      <c r="L13" s="9" t="s">
        <v>91</v>
      </c>
      <c r="M13" s="9"/>
      <c r="N13" s="9"/>
      <c r="O13" s="9"/>
      <c r="P13" s="9"/>
      <c r="Q13" s="9"/>
      <c r="R13" s="9"/>
      <c r="S13" s="9"/>
      <c r="T13" s="9"/>
      <c r="U13" s="9" t="s">
        <v>365</v>
      </c>
      <c r="V13" s="9" t="s">
        <v>264</v>
      </c>
      <c r="W13" s="9" t="s">
        <v>366</v>
      </c>
    </row>
    <row r="14" customFormat="false" ht="15" hidden="false" customHeight="false" outlineLevel="0" collapsed="false">
      <c r="A14" s="9" t="s">
        <v>376</v>
      </c>
      <c r="B14" s="11" t="n">
        <v>46192.4166666667</v>
      </c>
      <c r="C14" s="9" t="s">
        <v>38</v>
      </c>
      <c r="D14" s="9" t="s">
        <v>262</v>
      </c>
      <c r="E14" s="9" t="s">
        <v>270</v>
      </c>
      <c r="F14" s="9" t="s">
        <v>78</v>
      </c>
      <c r="G14" s="9" t="s">
        <v>20</v>
      </c>
      <c r="H14" s="9" t="s">
        <v>261</v>
      </c>
      <c r="I14" s="5" t="n">
        <v>2000</v>
      </c>
      <c r="J14" s="9" t="s">
        <v>90</v>
      </c>
      <c r="K14" s="9" t="s">
        <v>89</v>
      </c>
      <c r="L14" s="9" t="s">
        <v>91</v>
      </c>
      <c r="M14" s="9"/>
      <c r="N14" s="9"/>
      <c r="O14" s="9"/>
      <c r="P14" s="9"/>
      <c r="Q14" s="9"/>
      <c r="R14" s="9"/>
      <c r="S14" s="9"/>
      <c r="T14" s="9"/>
      <c r="U14" s="9" t="s">
        <v>365</v>
      </c>
      <c r="V14" s="9" t="s">
        <v>264</v>
      </c>
      <c r="W14" s="9" t="s">
        <v>366</v>
      </c>
    </row>
    <row r="15" customFormat="false" ht="15" hidden="false" customHeight="false" outlineLevel="0" collapsed="false">
      <c r="A15" s="9" t="s">
        <v>377</v>
      </c>
      <c r="B15" s="11" t="n">
        <v>46178.4166666667</v>
      </c>
      <c r="C15" s="9" t="s">
        <v>38</v>
      </c>
      <c r="D15" s="9" t="s">
        <v>262</v>
      </c>
      <c r="E15" s="9" t="s">
        <v>270</v>
      </c>
      <c r="F15" s="9" t="s">
        <v>76</v>
      </c>
      <c r="G15" s="9" t="s">
        <v>20</v>
      </c>
      <c r="H15" s="9" t="s">
        <v>261</v>
      </c>
      <c r="I15" s="5" t="n">
        <v>1000</v>
      </c>
      <c r="J15" s="9" t="s">
        <v>93</v>
      </c>
      <c r="K15" s="9" t="s">
        <v>92</v>
      </c>
      <c r="L15" s="9" t="s">
        <v>94</v>
      </c>
      <c r="M15" s="9"/>
      <c r="N15" s="9"/>
      <c r="O15" s="9"/>
      <c r="P15" s="9"/>
      <c r="Q15" s="9"/>
      <c r="R15" s="9"/>
      <c r="S15" s="9"/>
      <c r="T15" s="9"/>
      <c r="U15" s="9" t="s">
        <v>365</v>
      </c>
      <c r="V15" s="9" t="s">
        <v>264</v>
      </c>
      <c r="W15" s="9" t="s">
        <v>366</v>
      </c>
    </row>
    <row r="16" customFormat="false" ht="15" hidden="false" customHeight="false" outlineLevel="0" collapsed="false">
      <c r="A16" s="9" t="s">
        <v>378</v>
      </c>
      <c r="B16" s="11" t="n">
        <v>46178.4166666667</v>
      </c>
      <c r="C16" s="9" t="s">
        <v>38</v>
      </c>
      <c r="D16" s="9" t="s">
        <v>262</v>
      </c>
      <c r="E16" s="9" t="s">
        <v>270</v>
      </c>
      <c r="F16" s="9" t="s">
        <v>77</v>
      </c>
      <c r="G16" s="9" t="s">
        <v>20</v>
      </c>
      <c r="H16" s="9" t="s">
        <v>261</v>
      </c>
      <c r="I16" s="5" t="n">
        <v>2000</v>
      </c>
      <c r="J16" s="9" t="s">
        <v>93</v>
      </c>
      <c r="K16" s="9" t="s">
        <v>92</v>
      </c>
      <c r="L16" s="9" t="s">
        <v>94</v>
      </c>
      <c r="M16" s="9"/>
      <c r="N16" s="9"/>
      <c r="O16" s="9"/>
      <c r="P16" s="9"/>
      <c r="Q16" s="9"/>
      <c r="R16" s="9"/>
      <c r="S16" s="9"/>
      <c r="T16" s="9"/>
      <c r="U16" s="9" t="s">
        <v>365</v>
      </c>
      <c r="V16" s="9" t="s">
        <v>264</v>
      </c>
      <c r="W16" s="9" t="s">
        <v>366</v>
      </c>
    </row>
    <row r="17" customFormat="false" ht="15" hidden="false" customHeight="false" outlineLevel="0" collapsed="false">
      <c r="A17" s="9" t="s">
        <v>379</v>
      </c>
      <c r="B17" s="11" t="n">
        <v>46192.4166666667</v>
      </c>
      <c r="C17" s="9" t="s">
        <v>38</v>
      </c>
      <c r="D17" s="9" t="s">
        <v>262</v>
      </c>
      <c r="E17" s="9" t="s">
        <v>270</v>
      </c>
      <c r="F17" s="9" t="s">
        <v>78</v>
      </c>
      <c r="G17" s="9" t="s">
        <v>20</v>
      </c>
      <c r="H17" s="9" t="s">
        <v>261</v>
      </c>
      <c r="I17" s="5" t="n">
        <v>2000</v>
      </c>
      <c r="J17" s="9" t="s">
        <v>93</v>
      </c>
      <c r="K17" s="9" t="s">
        <v>92</v>
      </c>
      <c r="L17" s="9" t="s">
        <v>94</v>
      </c>
      <c r="M17" s="9"/>
      <c r="N17" s="9"/>
      <c r="O17" s="9"/>
      <c r="P17" s="9"/>
      <c r="Q17" s="9"/>
      <c r="R17" s="9"/>
      <c r="S17" s="9"/>
      <c r="T17" s="9"/>
      <c r="U17" s="9" t="s">
        <v>365</v>
      </c>
      <c r="V17" s="9" t="s">
        <v>264</v>
      </c>
      <c r="W17" s="9" t="s">
        <v>366</v>
      </c>
    </row>
    <row r="18" customFormat="false" ht="15" hidden="false" customHeight="false" outlineLevel="0" collapsed="false">
      <c r="A18" s="9" t="s">
        <v>380</v>
      </c>
      <c r="B18" s="11" t="n">
        <v>46178.4166666667</v>
      </c>
      <c r="C18" s="9" t="s">
        <v>38</v>
      </c>
      <c r="D18" s="9" t="s">
        <v>262</v>
      </c>
      <c r="E18" s="9" t="s">
        <v>270</v>
      </c>
      <c r="F18" s="9" t="s">
        <v>81</v>
      </c>
      <c r="G18" s="9" t="s">
        <v>20</v>
      </c>
      <c r="H18" s="9" t="s">
        <v>261</v>
      </c>
      <c r="I18" s="5" t="n">
        <v>1000</v>
      </c>
      <c r="J18" s="9" t="s">
        <v>93</v>
      </c>
      <c r="K18" s="9" t="s">
        <v>92</v>
      </c>
      <c r="L18" s="9" t="s">
        <v>94</v>
      </c>
      <c r="M18" s="9"/>
      <c r="N18" s="9"/>
      <c r="O18" s="9"/>
      <c r="P18" s="9"/>
      <c r="Q18" s="9"/>
      <c r="R18" s="9"/>
      <c r="S18" s="9"/>
      <c r="T18" s="9"/>
      <c r="U18" s="9" t="s">
        <v>365</v>
      </c>
      <c r="V18" s="9" t="s">
        <v>264</v>
      </c>
      <c r="W18" s="9" t="s">
        <v>366</v>
      </c>
    </row>
    <row r="19" customFormat="false" ht="15" hidden="false" customHeight="false" outlineLevel="0" collapsed="false">
      <c r="A19" s="9" t="s">
        <v>381</v>
      </c>
      <c r="B19" s="11" t="n">
        <v>46091</v>
      </c>
      <c r="C19" s="9" t="s">
        <v>38</v>
      </c>
      <c r="D19" s="9" t="s">
        <v>262</v>
      </c>
      <c r="E19" s="9" t="s">
        <v>263</v>
      </c>
      <c r="F19" s="9" t="s">
        <v>65</v>
      </c>
      <c r="G19" s="9" t="s">
        <v>20</v>
      </c>
      <c r="H19" s="9" t="s">
        <v>261</v>
      </c>
      <c r="I19" s="5" t="n">
        <v>3000</v>
      </c>
      <c r="J19" s="9" t="s">
        <v>96</v>
      </c>
      <c r="K19" s="9" t="s">
        <v>95</v>
      </c>
      <c r="L19" s="9" t="s">
        <v>97</v>
      </c>
      <c r="M19" s="9"/>
      <c r="N19" s="9"/>
      <c r="O19" s="9"/>
      <c r="P19" s="9"/>
      <c r="Q19" s="9"/>
      <c r="R19" s="9"/>
      <c r="S19" s="9"/>
      <c r="T19" s="9"/>
      <c r="U19" s="9" t="s">
        <v>365</v>
      </c>
      <c r="V19" s="9" t="s">
        <v>264</v>
      </c>
      <c r="W19" s="9" t="s">
        <v>366</v>
      </c>
    </row>
    <row r="20" customFormat="false" ht="15" hidden="false" customHeight="false" outlineLevel="0" collapsed="false">
      <c r="A20" s="9" t="s">
        <v>382</v>
      </c>
      <c r="B20" s="11" t="n">
        <v>46122</v>
      </c>
      <c r="C20" s="9" t="s">
        <v>38</v>
      </c>
      <c r="D20" s="9" t="s">
        <v>262</v>
      </c>
      <c r="E20" s="9" t="s">
        <v>263</v>
      </c>
      <c r="F20" s="9" t="s">
        <v>66</v>
      </c>
      <c r="G20" s="9" t="s">
        <v>20</v>
      </c>
      <c r="H20" s="9" t="s">
        <v>261</v>
      </c>
      <c r="I20" s="5" t="n">
        <v>3000</v>
      </c>
      <c r="J20" s="9" t="s">
        <v>96</v>
      </c>
      <c r="K20" s="9" t="s">
        <v>95</v>
      </c>
      <c r="L20" s="9" t="s">
        <v>97</v>
      </c>
      <c r="M20" s="9"/>
      <c r="N20" s="9"/>
      <c r="O20" s="9"/>
      <c r="P20" s="9"/>
      <c r="Q20" s="9"/>
      <c r="R20" s="9"/>
      <c r="S20" s="9"/>
      <c r="T20" s="9"/>
      <c r="U20" s="9" t="s">
        <v>365</v>
      </c>
      <c r="V20" s="9" t="s">
        <v>264</v>
      </c>
      <c r="W20" s="9" t="s">
        <v>366</v>
      </c>
    </row>
    <row r="21" customFormat="false" ht="15" hidden="false" customHeight="false" outlineLevel="0" collapsed="false">
      <c r="A21" s="9" t="s">
        <v>383</v>
      </c>
      <c r="B21" s="11" t="n">
        <v>46152</v>
      </c>
      <c r="C21" s="9" t="s">
        <v>38</v>
      </c>
      <c r="D21" s="9" t="s">
        <v>262</v>
      </c>
      <c r="E21" s="9" t="s">
        <v>263</v>
      </c>
      <c r="F21" s="9" t="s">
        <v>67</v>
      </c>
      <c r="G21" s="9" t="s">
        <v>20</v>
      </c>
      <c r="H21" s="9" t="s">
        <v>261</v>
      </c>
      <c r="I21" s="5" t="n">
        <v>3000</v>
      </c>
      <c r="J21" s="9" t="s">
        <v>96</v>
      </c>
      <c r="K21" s="9" t="s">
        <v>95</v>
      </c>
      <c r="L21" s="9" t="s">
        <v>97</v>
      </c>
      <c r="M21" s="9"/>
      <c r="N21" s="9"/>
      <c r="O21" s="9"/>
      <c r="P21" s="9"/>
      <c r="Q21" s="9"/>
      <c r="R21" s="9"/>
      <c r="S21" s="9"/>
      <c r="T21" s="9"/>
      <c r="U21" s="9" t="s">
        <v>365</v>
      </c>
      <c r="V21" s="9" t="s">
        <v>264</v>
      </c>
      <c r="W21" s="9" t="s">
        <v>366</v>
      </c>
    </row>
    <row r="22" customFormat="false" ht="15" hidden="false" customHeight="false" outlineLevel="0" collapsed="false">
      <c r="A22" s="9" t="s">
        <v>384</v>
      </c>
      <c r="B22" s="11" t="n">
        <v>46178.4166666667</v>
      </c>
      <c r="C22" s="9" t="s">
        <v>38</v>
      </c>
      <c r="D22" s="9" t="s">
        <v>262</v>
      </c>
      <c r="E22" s="9" t="s">
        <v>270</v>
      </c>
      <c r="F22" s="9" t="s">
        <v>76</v>
      </c>
      <c r="G22" s="9" t="s">
        <v>20</v>
      </c>
      <c r="H22" s="9" t="s">
        <v>261</v>
      </c>
      <c r="I22" s="5" t="n">
        <v>1000</v>
      </c>
      <c r="J22" s="9" t="s">
        <v>96</v>
      </c>
      <c r="K22" s="9" t="s">
        <v>95</v>
      </c>
      <c r="L22" s="9" t="s">
        <v>97</v>
      </c>
      <c r="M22" s="9"/>
      <c r="N22" s="9"/>
      <c r="O22" s="9"/>
      <c r="P22" s="9"/>
      <c r="Q22" s="9"/>
      <c r="R22" s="9"/>
      <c r="S22" s="9"/>
      <c r="T22" s="9"/>
      <c r="U22" s="9" t="s">
        <v>365</v>
      </c>
      <c r="V22" s="9" t="s">
        <v>264</v>
      </c>
      <c r="W22" s="9" t="s">
        <v>366</v>
      </c>
    </row>
    <row r="23" customFormat="false" ht="15" hidden="false" customHeight="false" outlineLevel="0" collapsed="false">
      <c r="A23" s="9" t="s">
        <v>385</v>
      </c>
      <c r="B23" s="11" t="n">
        <v>46178.4166666667</v>
      </c>
      <c r="C23" s="9" t="s">
        <v>38</v>
      </c>
      <c r="D23" s="9" t="s">
        <v>262</v>
      </c>
      <c r="E23" s="9" t="s">
        <v>270</v>
      </c>
      <c r="F23" s="9" t="s">
        <v>77</v>
      </c>
      <c r="G23" s="9" t="s">
        <v>20</v>
      </c>
      <c r="H23" s="9" t="s">
        <v>261</v>
      </c>
      <c r="I23" s="5" t="n">
        <v>2000</v>
      </c>
      <c r="J23" s="9" t="s">
        <v>96</v>
      </c>
      <c r="K23" s="9" t="s">
        <v>95</v>
      </c>
      <c r="L23" s="9" t="s">
        <v>97</v>
      </c>
      <c r="M23" s="9"/>
      <c r="N23" s="9"/>
      <c r="O23" s="9"/>
      <c r="P23" s="9"/>
      <c r="Q23" s="9"/>
      <c r="R23" s="9"/>
      <c r="S23" s="9"/>
      <c r="T23" s="9"/>
      <c r="U23" s="9" t="s">
        <v>365</v>
      </c>
      <c r="V23" s="9" t="s">
        <v>264</v>
      </c>
      <c r="W23" s="9" t="s">
        <v>366</v>
      </c>
    </row>
    <row r="24" customFormat="false" ht="15" hidden="false" customHeight="false" outlineLevel="0" collapsed="false">
      <c r="A24" s="9" t="s">
        <v>386</v>
      </c>
      <c r="B24" s="11" t="n">
        <v>46192.4166666667</v>
      </c>
      <c r="C24" s="9" t="s">
        <v>38</v>
      </c>
      <c r="D24" s="9" t="s">
        <v>262</v>
      </c>
      <c r="E24" s="9" t="s">
        <v>270</v>
      </c>
      <c r="F24" s="9" t="s">
        <v>78</v>
      </c>
      <c r="G24" s="9" t="s">
        <v>20</v>
      </c>
      <c r="H24" s="9" t="s">
        <v>261</v>
      </c>
      <c r="I24" s="5" t="n">
        <v>2000</v>
      </c>
      <c r="J24" s="9" t="s">
        <v>96</v>
      </c>
      <c r="K24" s="9" t="s">
        <v>95</v>
      </c>
      <c r="L24" s="9" t="s">
        <v>97</v>
      </c>
      <c r="M24" s="9"/>
      <c r="N24" s="9"/>
      <c r="O24" s="9"/>
      <c r="P24" s="9"/>
      <c r="Q24" s="9"/>
      <c r="R24" s="9"/>
      <c r="S24" s="9"/>
      <c r="T24" s="9"/>
      <c r="U24" s="9" t="s">
        <v>365</v>
      </c>
      <c r="V24" s="9" t="s">
        <v>264</v>
      </c>
      <c r="W24" s="9" t="s">
        <v>366</v>
      </c>
    </row>
    <row r="25" customFormat="false" ht="15" hidden="false" customHeight="false" outlineLevel="0" collapsed="false">
      <c r="A25" s="9" t="s">
        <v>387</v>
      </c>
      <c r="B25" s="11" t="n">
        <v>46091</v>
      </c>
      <c r="C25" s="9" t="s">
        <v>38</v>
      </c>
      <c r="D25" s="9" t="s">
        <v>262</v>
      </c>
      <c r="E25" s="9" t="s">
        <v>263</v>
      </c>
      <c r="F25" s="9" t="s">
        <v>65</v>
      </c>
      <c r="G25" s="9" t="s">
        <v>373</v>
      </c>
      <c r="H25" s="9" t="s">
        <v>261</v>
      </c>
      <c r="I25" s="5" t="n">
        <v>3000</v>
      </c>
      <c r="J25" s="9" t="s">
        <v>98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 t="s">
        <v>365</v>
      </c>
      <c r="V25" s="9" t="s">
        <v>264</v>
      </c>
      <c r="W25" s="9" t="s">
        <v>366</v>
      </c>
    </row>
    <row r="26" customFormat="false" ht="15" hidden="false" customHeight="false" outlineLevel="0" collapsed="false">
      <c r="A26" s="9" t="s">
        <v>388</v>
      </c>
      <c r="B26" s="11" t="n">
        <v>46091</v>
      </c>
      <c r="C26" s="9" t="s">
        <v>38</v>
      </c>
      <c r="D26" s="9" t="s">
        <v>262</v>
      </c>
      <c r="E26" s="9" t="s">
        <v>263</v>
      </c>
      <c r="F26" s="9" t="s">
        <v>65</v>
      </c>
      <c r="G26" s="9" t="s">
        <v>20</v>
      </c>
      <c r="H26" s="9" t="s">
        <v>261</v>
      </c>
      <c r="I26" s="5" t="n">
        <v>3000</v>
      </c>
      <c r="J26" s="9" t="s">
        <v>102</v>
      </c>
      <c r="K26" s="9" t="s">
        <v>101</v>
      </c>
      <c r="L26" s="9"/>
      <c r="M26" s="9"/>
      <c r="N26" s="9"/>
      <c r="O26" s="9"/>
      <c r="P26" s="9"/>
      <c r="Q26" s="9"/>
      <c r="R26" s="9"/>
      <c r="S26" s="9"/>
      <c r="T26" s="9"/>
      <c r="U26" s="9" t="s">
        <v>365</v>
      </c>
      <c r="V26" s="9" t="s">
        <v>264</v>
      </c>
      <c r="W26" s="9" t="s">
        <v>366</v>
      </c>
    </row>
    <row r="27" customFormat="false" ht="15" hidden="false" customHeight="false" outlineLevel="0" collapsed="false">
      <c r="A27" s="9" t="s">
        <v>389</v>
      </c>
      <c r="B27" s="11" t="n">
        <v>46122</v>
      </c>
      <c r="C27" s="9" t="s">
        <v>38</v>
      </c>
      <c r="D27" s="9" t="s">
        <v>262</v>
      </c>
      <c r="E27" s="9" t="s">
        <v>263</v>
      </c>
      <c r="F27" s="9" t="s">
        <v>66</v>
      </c>
      <c r="G27" s="9" t="s">
        <v>20</v>
      </c>
      <c r="H27" s="9" t="s">
        <v>261</v>
      </c>
      <c r="I27" s="5" t="n">
        <v>3000</v>
      </c>
      <c r="J27" s="9" t="s">
        <v>102</v>
      </c>
      <c r="K27" s="9" t="s">
        <v>101</v>
      </c>
      <c r="L27" s="9"/>
      <c r="M27" s="9"/>
      <c r="N27" s="9"/>
      <c r="O27" s="9"/>
      <c r="P27" s="9"/>
      <c r="Q27" s="9"/>
      <c r="R27" s="9"/>
      <c r="S27" s="9"/>
      <c r="T27" s="9"/>
      <c r="U27" s="9" t="s">
        <v>365</v>
      </c>
      <c r="V27" s="9" t="s">
        <v>264</v>
      </c>
      <c r="W27" s="9" t="s">
        <v>366</v>
      </c>
    </row>
    <row r="28" customFormat="false" ht="15" hidden="false" customHeight="false" outlineLevel="0" collapsed="false">
      <c r="A28" s="9" t="s">
        <v>390</v>
      </c>
      <c r="B28" s="11" t="n">
        <v>46152</v>
      </c>
      <c r="C28" s="9" t="s">
        <v>38</v>
      </c>
      <c r="D28" s="9" t="s">
        <v>262</v>
      </c>
      <c r="E28" s="9" t="s">
        <v>263</v>
      </c>
      <c r="F28" s="9" t="s">
        <v>67</v>
      </c>
      <c r="G28" s="9" t="s">
        <v>20</v>
      </c>
      <c r="H28" s="9" t="s">
        <v>261</v>
      </c>
      <c r="I28" s="5" t="n">
        <v>3000</v>
      </c>
      <c r="J28" s="9" t="s">
        <v>102</v>
      </c>
      <c r="K28" s="9" t="s">
        <v>101</v>
      </c>
      <c r="L28" s="9"/>
      <c r="M28" s="9"/>
      <c r="N28" s="9"/>
      <c r="O28" s="9"/>
      <c r="P28" s="9"/>
      <c r="Q28" s="9"/>
      <c r="R28" s="9"/>
      <c r="S28" s="9"/>
      <c r="T28" s="9"/>
      <c r="U28" s="9" t="s">
        <v>365</v>
      </c>
      <c r="V28" s="9" t="s">
        <v>264</v>
      </c>
      <c r="W28" s="9" t="s">
        <v>366</v>
      </c>
    </row>
    <row r="29" customFormat="false" ht="15" hidden="false" customHeight="false" outlineLevel="0" collapsed="false">
      <c r="A29" s="9" t="s">
        <v>391</v>
      </c>
      <c r="B29" s="11" t="n">
        <v>46178.4166666667</v>
      </c>
      <c r="C29" s="9" t="s">
        <v>38</v>
      </c>
      <c r="D29" s="9" t="s">
        <v>262</v>
      </c>
      <c r="E29" s="9" t="s">
        <v>270</v>
      </c>
      <c r="F29" s="9" t="s">
        <v>76</v>
      </c>
      <c r="G29" s="9" t="s">
        <v>20</v>
      </c>
      <c r="H29" s="9" t="s">
        <v>261</v>
      </c>
      <c r="I29" s="5" t="n">
        <v>1000</v>
      </c>
      <c r="J29" s="9" t="s">
        <v>102</v>
      </c>
      <c r="K29" s="9" t="s">
        <v>101</v>
      </c>
      <c r="L29" s="9"/>
      <c r="M29" s="9"/>
      <c r="N29" s="9"/>
      <c r="O29" s="9"/>
      <c r="P29" s="9"/>
      <c r="Q29" s="9"/>
      <c r="R29" s="9"/>
      <c r="S29" s="9"/>
      <c r="T29" s="9"/>
      <c r="U29" s="9" t="s">
        <v>365</v>
      </c>
      <c r="V29" s="9" t="s">
        <v>264</v>
      </c>
      <c r="W29" s="9" t="s">
        <v>366</v>
      </c>
    </row>
    <row r="30" customFormat="false" ht="15" hidden="false" customHeight="false" outlineLevel="0" collapsed="false">
      <c r="A30" s="9" t="s">
        <v>392</v>
      </c>
      <c r="B30" s="11" t="n">
        <v>46192.4166666667</v>
      </c>
      <c r="C30" s="9" t="s">
        <v>38</v>
      </c>
      <c r="D30" s="9" t="s">
        <v>262</v>
      </c>
      <c r="E30" s="9" t="s">
        <v>270</v>
      </c>
      <c r="F30" s="9" t="s">
        <v>78</v>
      </c>
      <c r="G30" s="9" t="s">
        <v>20</v>
      </c>
      <c r="H30" s="9" t="s">
        <v>261</v>
      </c>
      <c r="I30" s="5" t="n">
        <v>2000</v>
      </c>
      <c r="J30" s="9" t="s">
        <v>102</v>
      </c>
      <c r="K30" s="9" t="s">
        <v>101</v>
      </c>
      <c r="L30" s="9"/>
      <c r="M30" s="9"/>
      <c r="N30" s="9"/>
      <c r="O30" s="9"/>
      <c r="P30" s="9"/>
      <c r="Q30" s="9"/>
      <c r="R30" s="9"/>
      <c r="S30" s="9"/>
      <c r="T30" s="9"/>
      <c r="U30" s="9" t="s">
        <v>365</v>
      </c>
      <c r="V30" s="9" t="s">
        <v>264</v>
      </c>
      <c r="W30" s="9" t="s">
        <v>366</v>
      </c>
    </row>
    <row r="31" customFormat="false" ht="15" hidden="false" customHeight="false" outlineLevel="0" collapsed="false">
      <c r="A31" s="9" t="s">
        <v>393</v>
      </c>
      <c r="B31" s="11" t="n">
        <v>46091</v>
      </c>
      <c r="C31" s="9" t="s">
        <v>38</v>
      </c>
      <c r="D31" s="9" t="s">
        <v>262</v>
      </c>
      <c r="E31" s="9" t="s">
        <v>263</v>
      </c>
      <c r="F31" s="9" t="s">
        <v>65</v>
      </c>
      <c r="G31" s="9" t="s">
        <v>20</v>
      </c>
      <c r="H31" s="9" t="s">
        <v>261</v>
      </c>
      <c r="I31" s="5" t="n">
        <v>3000</v>
      </c>
      <c r="J31" s="9" t="s">
        <v>104</v>
      </c>
      <c r="K31" s="9" t="s">
        <v>103</v>
      </c>
      <c r="L31" s="9" t="s">
        <v>105</v>
      </c>
      <c r="M31" s="9"/>
      <c r="N31" s="9"/>
      <c r="O31" s="9"/>
      <c r="P31" s="9"/>
      <c r="Q31" s="9"/>
      <c r="R31" s="9"/>
      <c r="S31" s="9"/>
      <c r="T31" s="9"/>
      <c r="U31" s="9" t="s">
        <v>365</v>
      </c>
      <c r="V31" s="9" t="s">
        <v>264</v>
      </c>
      <c r="W31" s="9" t="s">
        <v>366</v>
      </c>
    </row>
    <row r="32" customFormat="false" ht="15" hidden="false" customHeight="false" outlineLevel="0" collapsed="false">
      <c r="A32" s="9" t="s">
        <v>394</v>
      </c>
      <c r="B32" s="11" t="n">
        <v>46122</v>
      </c>
      <c r="C32" s="9" t="s">
        <v>38</v>
      </c>
      <c r="D32" s="9" t="s">
        <v>262</v>
      </c>
      <c r="E32" s="9" t="s">
        <v>263</v>
      </c>
      <c r="F32" s="9" t="s">
        <v>66</v>
      </c>
      <c r="G32" s="9" t="s">
        <v>20</v>
      </c>
      <c r="H32" s="9" t="s">
        <v>261</v>
      </c>
      <c r="I32" s="5" t="n">
        <v>3000</v>
      </c>
      <c r="J32" s="9" t="s">
        <v>104</v>
      </c>
      <c r="K32" s="9" t="s">
        <v>103</v>
      </c>
      <c r="L32" s="9" t="s">
        <v>105</v>
      </c>
      <c r="M32" s="9"/>
      <c r="N32" s="9"/>
      <c r="O32" s="9"/>
      <c r="P32" s="9"/>
      <c r="Q32" s="9"/>
      <c r="R32" s="9"/>
      <c r="S32" s="9"/>
      <c r="T32" s="9"/>
      <c r="U32" s="9" t="s">
        <v>365</v>
      </c>
      <c r="V32" s="9" t="s">
        <v>264</v>
      </c>
      <c r="W32" s="9" t="s">
        <v>366</v>
      </c>
    </row>
    <row r="33" customFormat="false" ht="15" hidden="false" customHeight="false" outlineLevel="0" collapsed="false">
      <c r="A33" s="9" t="s">
        <v>395</v>
      </c>
      <c r="B33" s="11" t="n">
        <v>46152</v>
      </c>
      <c r="C33" s="9" t="s">
        <v>38</v>
      </c>
      <c r="D33" s="9" t="s">
        <v>262</v>
      </c>
      <c r="E33" s="9" t="s">
        <v>263</v>
      </c>
      <c r="F33" s="9" t="s">
        <v>67</v>
      </c>
      <c r="G33" s="9" t="s">
        <v>20</v>
      </c>
      <c r="H33" s="9" t="s">
        <v>261</v>
      </c>
      <c r="I33" s="5" t="n">
        <v>3000</v>
      </c>
      <c r="J33" s="9" t="s">
        <v>104</v>
      </c>
      <c r="K33" s="9" t="s">
        <v>103</v>
      </c>
      <c r="L33" s="9" t="s">
        <v>105</v>
      </c>
      <c r="M33" s="9"/>
      <c r="N33" s="9"/>
      <c r="O33" s="9"/>
      <c r="P33" s="9"/>
      <c r="Q33" s="9"/>
      <c r="R33" s="9"/>
      <c r="S33" s="9"/>
      <c r="T33" s="9"/>
      <c r="U33" s="9" t="s">
        <v>365</v>
      </c>
      <c r="V33" s="9" t="s">
        <v>264</v>
      </c>
      <c r="W33" s="9" t="s">
        <v>366</v>
      </c>
    </row>
    <row r="34" customFormat="false" ht="15" hidden="false" customHeight="false" outlineLevel="0" collapsed="false">
      <c r="A34" s="9" t="s">
        <v>396</v>
      </c>
      <c r="B34" s="11" t="n">
        <v>46192</v>
      </c>
      <c r="C34" s="9" t="s">
        <v>38</v>
      </c>
      <c r="D34" s="9" t="s">
        <v>262</v>
      </c>
      <c r="E34" s="9" t="s">
        <v>263</v>
      </c>
      <c r="F34" s="9" t="s">
        <v>68</v>
      </c>
      <c r="G34" s="9" t="s">
        <v>20</v>
      </c>
      <c r="H34" s="9" t="s">
        <v>261</v>
      </c>
      <c r="I34" s="5" t="n">
        <v>3000</v>
      </c>
      <c r="J34" s="9" t="s">
        <v>104</v>
      </c>
      <c r="K34" s="9" t="s">
        <v>103</v>
      </c>
      <c r="L34" s="9" t="s">
        <v>105</v>
      </c>
      <c r="M34" s="9"/>
      <c r="N34" s="9"/>
      <c r="O34" s="9"/>
      <c r="P34" s="9"/>
      <c r="Q34" s="9"/>
      <c r="R34" s="9"/>
      <c r="S34" s="9"/>
      <c r="T34" s="9"/>
      <c r="U34" s="9" t="s">
        <v>365</v>
      </c>
      <c r="V34" s="9" t="s">
        <v>264</v>
      </c>
      <c r="W34" s="9" t="s">
        <v>366</v>
      </c>
    </row>
    <row r="35" customFormat="false" ht="15" hidden="false" customHeight="false" outlineLevel="0" collapsed="false">
      <c r="A35" s="9" t="s">
        <v>397</v>
      </c>
      <c r="B35" s="11" t="n">
        <v>46213</v>
      </c>
      <c r="C35" s="9" t="s">
        <v>38</v>
      </c>
      <c r="D35" s="9" t="s">
        <v>262</v>
      </c>
      <c r="E35" s="9" t="s">
        <v>263</v>
      </c>
      <c r="F35" s="9" t="s">
        <v>69</v>
      </c>
      <c r="G35" s="9" t="s">
        <v>20</v>
      </c>
      <c r="H35" s="9" t="s">
        <v>261</v>
      </c>
      <c r="I35" s="5" t="n">
        <v>3000</v>
      </c>
      <c r="J35" s="9" t="s">
        <v>104</v>
      </c>
      <c r="K35" s="9" t="s">
        <v>103</v>
      </c>
      <c r="L35" s="9" t="s">
        <v>105</v>
      </c>
      <c r="M35" s="9"/>
      <c r="N35" s="9"/>
      <c r="O35" s="9"/>
      <c r="P35" s="9"/>
      <c r="Q35" s="9"/>
      <c r="R35" s="9"/>
      <c r="S35" s="9"/>
      <c r="T35" s="9"/>
      <c r="U35" s="9" t="s">
        <v>365</v>
      </c>
      <c r="V35" s="9" t="s">
        <v>264</v>
      </c>
      <c r="W35" s="9" t="s">
        <v>366</v>
      </c>
    </row>
    <row r="36" customFormat="false" ht="15" hidden="false" customHeight="false" outlineLevel="0" collapsed="false">
      <c r="A36" s="9" t="s">
        <v>398</v>
      </c>
      <c r="B36" s="11" t="n">
        <v>46178.4166666667</v>
      </c>
      <c r="C36" s="9" t="s">
        <v>38</v>
      </c>
      <c r="D36" s="9" t="s">
        <v>262</v>
      </c>
      <c r="E36" s="9" t="s">
        <v>270</v>
      </c>
      <c r="F36" s="9" t="s">
        <v>76</v>
      </c>
      <c r="G36" s="9" t="s">
        <v>20</v>
      </c>
      <c r="H36" s="9" t="s">
        <v>261</v>
      </c>
      <c r="I36" s="5" t="n">
        <v>1000</v>
      </c>
      <c r="J36" s="9" t="s">
        <v>104</v>
      </c>
      <c r="K36" s="9" t="s">
        <v>103</v>
      </c>
      <c r="L36" s="9" t="s">
        <v>105</v>
      </c>
      <c r="M36" s="9"/>
      <c r="N36" s="9"/>
      <c r="O36" s="9"/>
      <c r="P36" s="9"/>
      <c r="Q36" s="9"/>
      <c r="R36" s="9"/>
      <c r="S36" s="9"/>
      <c r="T36" s="9"/>
      <c r="U36" s="9" t="s">
        <v>365</v>
      </c>
      <c r="V36" s="9" t="s">
        <v>264</v>
      </c>
      <c r="W36" s="9" t="s">
        <v>366</v>
      </c>
    </row>
    <row r="37" customFormat="false" ht="15" hidden="false" customHeight="false" outlineLevel="0" collapsed="false">
      <c r="A37" s="9" t="s">
        <v>399</v>
      </c>
      <c r="B37" s="11" t="n">
        <v>46178.4166666667</v>
      </c>
      <c r="C37" s="9" t="s">
        <v>38</v>
      </c>
      <c r="D37" s="9" t="s">
        <v>262</v>
      </c>
      <c r="E37" s="9" t="s">
        <v>270</v>
      </c>
      <c r="F37" s="9" t="s">
        <v>77</v>
      </c>
      <c r="G37" s="9" t="s">
        <v>373</v>
      </c>
      <c r="H37" s="9" t="s">
        <v>261</v>
      </c>
      <c r="I37" s="5" t="n">
        <v>2000</v>
      </c>
      <c r="J37" s="9" t="s">
        <v>104</v>
      </c>
      <c r="K37" s="9" t="s">
        <v>103</v>
      </c>
      <c r="L37" s="9" t="s">
        <v>105</v>
      </c>
      <c r="M37" s="9"/>
      <c r="N37" s="9"/>
      <c r="O37" s="9"/>
      <c r="P37" s="9"/>
      <c r="Q37" s="9"/>
      <c r="R37" s="9"/>
      <c r="S37" s="9"/>
      <c r="T37" s="9"/>
      <c r="U37" s="9" t="s">
        <v>365</v>
      </c>
      <c r="V37" s="9" t="s">
        <v>264</v>
      </c>
      <c r="W37" s="9" t="s">
        <v>366</v>
      </c>
    </row>
    <row r="38" customFormat="false" ht="15" hidden="false" customHeight="false" outlineLevel="0" collapsed="false">
      <c r="A38" s="9" t="s">
        <v>400</v>
      </c>
      <c r="B38" s="11" t="n">
        <v>46192.4166666667</v>
      </c>
      <c r="C38" s="9" t="s">
        <v>38</v>
      </c>
      <c r="D38" s="9" t="s">
        <v>262</v>
      </c>
      <c r="E38" s="9" t="s">
        <v>270</v>
      </c>
      <c r="F38" s="9" t="s">
        <v>78</v>
      </c>
      <c r="G38" s="9" t="s">
        <v>20</v>
      </c>
      <c r="H38" s="9" t="s">
        <v>261</v>
      </c>
      <c r="I38" s="5" t="n">
        <v>2000</v>
      </c>
      <c r="J38" s="9" t="s">
        <v>104</v>
      </c>
      <c r="K38" s="9" t="s">
        <v>103</v>
      </c>
      <c r="L38" s="9" t="s">
        <v>105</v>
      </c>
      <c r="M38" s="9"/>
      <c r="N38" s="9"/>
      <c r="O38" s="9"/>
      <c r="P38" s="9"/>
      <c r="Q38" s="9"/>
      <c r="R38" s="9"/>
      <c r="S38" s="9"/>
      <c r="T38" s="9"/>
      <c r="U38" s="9" t="s">
        <v>365</v>
      </c>
      <c r="V38" s="9" t="s">
        <v>264</v>
      </c>
      <c r="W38" s="9" t="s">
        <v>366</v>
      </c>
    </row>
    <row r="39" customFormat="false" ht="15" hidden="false" customHeight="false" outlineLevel="0" collapsed="false">
      <c r="A39" s="9" t="s">
        <v>401</v>
      </c>
      <c r="B39" s="11" t="n">
        <v>46091</v>
      </c>
      <c r="C39" s="9" t="s">
        <v>38</v>
      </c>
      <c r="D39" s="9" t="s">
        <v>262</v>
      </c>
      <c r="E39" s="9" t="s">
        <v>263</v>
      </c>
      <c r="F39" s="9" t="s">
        <v>65</v>
      </c>
      <c r="G39" s="9" t="s">
        <v>20</v>
      </c>
      <c r="H39" s="9" t="s">
        <v>261</v>
      </c>
      <c r="I39" s="5" t="n">
        <v>3000</v>
      </c>
      <c r="J39" s="9" t="s">
        <v>107</v>
      </c>
      <c r="K39" s="9" t="s">
        <v>106</v>
      </c>
      <c r="L39" s="9"/>
      <c r="M39" s="9"/>
      <c r="N39" s="9"/>
      <c r="O39" s="9"/>
      <c r="P39" s="9"/>
      <c r="Q39" s="9"/>
      <c r="R39" s="9"/>
      <c r="S39" s="9"/>
      <c r="T39" s="9"/>
      <c r="U39" s="9" t="s">
        <v>365</v>
      </c>
      <c r="V39" s="9" t="s">
        <v>264</v>
      </c>
      <c r="W39" s="9" t="s">
        <v>366</v>
      </c>
    </row>
    <row r="40" customFormat="false" ht="15" hidden="false" customHeight="false" outlineLevel="0" collapsed="false">
      <c r="A40" s="9" t="s">
        <v>402</v>
      </c>
      <c r="B40" s="11" t="n">
        <v>46122</v>
      </c>
      <c r="C40" s="9" t="s">
        <v>38</v>
      </c>
      <c r="D40" s="9" t="s">
        <v>262</v>
      </c>
      <c r="E40" s="9" t="s">
        <v>263</v>
      </c>
      <c r="F40" s="9" t="s">
        <v>66</v>
      </c>
      <c r="G40" s="9" t="s">
        <v>20</v>
      </c>
      <c r="H40" s="9" t="s">
        <v>261</v>
      </c>
      <c r="I40" s="5" t="n">
        <v>3000</v>
      </c>
      <c r="J40" s="9" t="s">
        <v>107</v>
      </c>
      <c r="K40" s="9" t="s">
        <v>106</v>
      </c>
      <c r="L40" s="9"/>
      <c r="M40" s="9"/>
      <c r="N40" s="9"/>
      <c r="O40" s="9"/>
      <c r="P40" s="9"/>
      <c r="Q40" s="9"/>
      <c r="R40" s="9"/>
      <c r="S40" s="9"/>
      <c r="T40" s="9"/>
      <c r="U40" s="9" t="s">
        <v>365</v>
      </c>
      <c r="V40" s="9" t="s">
        <v>264</v>
      </c>
      <c r="W40" s="9" t="s">
        <v>366</v>
      </c>
    </row>
    <row r="41" customFormat="false" ht="15" hidden="false" customHeight="false" outlineLevel="0" collapsed="false">
      <c r="A41" s="9" t="s">
        <v>403</v>
      </c>
      <c r="B41" s="11" t="n">
        <v>46152</v>
      </c>
      <c r="C41" s="9" t="s">
        <v>38</v>
      </c>
      <c r="D41" s="9" t="s">
        <v>262</v>
      </c>
      <c r="E41" s="9" t="s">
        <v>263</v>
      </c>
      <c r="F41" s="9" t="s">
        <v>67</v>
      </c>
      <c r="G41" s="9" t="s">
        <v>20</v>
      </c>
      <c r="H41" s="9" t="s">
        <v>261</v>
      </c>
      <c r="I41" s="5" t="n">
        <v>3000</v>
      </c>
      <c r="J41" s="9" t="s">
        <v>107</v>
      </c>
      <c r="K41" s="9" t="s">
        <v>106</v>
      </c>
      <c r="L41" s="9"/>
      <c r="M41" s="9"/>
      <c r="N41" s="9"/>
      <c r="O41" s="9"/>
      <c r="P41" s="9"/>
      <c r="Q41" s="9"/>
      <c r="R41" s="9"/>
      <c r="S41" s="9"/>
      <c r="T41" s="9"/>
      <c r="U41" s="9" t="s">
        <v>365</v>
      </c>
      <c r="V41" s="9" t="s">
        <v>264</v>
      </c>
      <c r="W41" s="9" t="s">
        <v>366</v>
      </c>
    </row>
    <row r="42" customFormat="false" ht="15" hidden="false" customHeight="false" outlineLevel="0" collapsed="false">
      <c r="A42" s="9" t="s">
        <v>404</v>
      </c>
      <c r="B42" s="11" t="n">
        <v>46192</v>
      </c>
      <c r="C42" s="9" t="s">
        <v>38</v>
      </c>
      <c r="D42" s="9" t="s">
        <v>262</v>
      </c>
      <c r="E42" s="9" t="s">
        <v>263</v>
      </c>
      <c r="F42" s="9" t="s">
        <v>68</v>
      </c>
      <c r="G42" s="9" t="s">
        <v>20</v>
      </c>
      <c r="H42" s="9" t="s">
        <v>261</v>
      </c>
      <c r="I42" s="5" t="n">
        <v>3000</v>
      </c>
      <c r="J42" s="9" t="s">
        <v>107</v>
      </c>
      <c r="K42" s="9" t="s">
        <v>106</v>
      </c>
      <c r="L42" s="9"/>
      <c r="M42" s="9"/>
      <c r="N42" s="9"/>
      <c r="O42" s="9"/>
      <c r="P42" s="9"/>
      <c r="Q42" s="9"/>
      <c r="R42" s="9"/>
      <c r="S42" s="9"/>
      <c r="T42" s="9"/>
      <c r="U42" s="9" t="s">
        <v>365</v>
      </c>
      <c r="V42" s="9" t="s">
        <v>264</v>
      </c>
      <c r="W42" s="9" t="s">
        <v>366</v>
      </c>
    </row>
    <row r="43" customFormat="false" ht="15" hidden="false" customHeight="false" outlineLevel="0" collapsed="false">
      <c r="A43" s="9" t="s">
        <v>405</v>
      </c>
      <c r="B43" s="11" t="n">
        <v>46178.4166666667</v>
      </c>
      <c r="C43" s="9" t="s">
        <v>38</v>
      </c>
      <c r="D43" s="9" t="s">
        <v>262</v>
      </c>
      <c r="E43" s="9" t="s">
        <v>270</v>
      </c>
      <c r="F43" s="9" t="s">
        <v>76</v>
      </c>
      <c r="G43" s="9" t="s">
        <v>20</v>
      </c>
      <c r="H43" s="9" t="s">
        <v>261</v>
      </c>
      <c r="I43" s="5" t="n">
        <v>1000</v>
      </c>
      <c r="J43" s="9" t="s">
        <v>107</v>
      </c>
      <c r="K43" s="9" t="s">
        <v>106</v>
      </c>
      <c r="L43" s="9"/>
      <c r="M43" s="9"/>
      <c r="N43" s="9"/>
      <c r="O43" s="9"/>
      <c r="P43" s="9"/>
      <c r="Q43" s="9"/>
      <c r="R43" s="9"/>
      <c r="S43" s="9"/>
      <c r="T43" s="9"/>
      <c r="U43" s="9" t="s">
        <v>365</v>
      </c>
      <c r="V43" s="9" t="s">
        <v>264</v>
      </c>
      <c r="W43" s="9" t="s">
        <v>366</v>
      </c>
    </row>
    <row r="44" customFormat="false" ht="15" hidden="false" customHeight="false" outlineLevel="0" collapsed="false">
      <c r="A44" s="9" t="s">
        <v>406</v>
      </c>
      <c r="B44" s="11" t="n">
        <v>46178.4166666667</v>
      </c>
      <c r="C44" s="9" t="s">
        <v>38</v>
      </c>
      <c r="D44" s="9" t="s">
        <v>262</v>
      </c>
      <c r="E44" s="9" t="s">
        <v>270</v>
      </c>
      <c r="F44" s="9" t="s">
        <v>77</v>
      </c>
      <c r="G44" s="9" t="s">
        <v>373</v>
      </c>
      <c r="H44" s="9" t="s">
        <v>261</v>
      </c>
      <c r="I44" s="5" t="n">
        <v>2000</v>
      </c>
      <c r="J44" s="9" t="s">
        <v>107</v>
      </c>
      <c r="K44" s="9" t="s">
        <v>106</v>
      </c>
      <c r="L44" s="9"/>
      <c r="M44" s="9"/>
      <c r="N44" s="9"/>
      <c r="O44" s="9"/>
      <c r="P44" s="9"/>
      <c r="Q44" s="9"/>
      <c r="R44" s="9"/>
      <c r="S44" s="9"/>
      <c r="T44" s="9"/>
      <c r="U44" s="9" t="s">
        <v>365</v>
      </c>
      <c r="V44" s="9" t="s">
        <v>264</v>
      </c>
      <c r="W44" s="9" t="s">
        <v>366</v>
      </c>
    </row>
    <row r="45" customFormat="false" ht="15" hidden="false" customHeight="false" outlineLevel="0" collapsed="false">
      <c r="A45" s="9" t="s">
        <v>407</v>
      </c>
      <c r="B45" s="11" t="n">
        <v>46192.4166666667</v>
      </c>
      <c r="C45" s="9" t="s">
        <v>38</v>
      </c>
      <c r="D45" s="9" t="s">
        <v>262</v>
      </c>
      <c r="E45" s="9" t="s">
        <v>270</v>
      </c>
      <c r="F45" s="9" t="s">
        <v>78</v>
      </c>
      <c r="G45" s="9" t="s">
        <v>20</v>
      </c>
      <c r="H45" s="9" t="s">
        <v>261</v>
      </c>
      <c r="I45" s="5" t="n">
        <v>2000</v>
      </c>
      <c r="J45" s="9" t="s">
        <v>107</v>
      </c>
      <c r="K45" s="9" t="s">
        <v>106</v>
      </c>
      <c r="L45" s="9"/>
      <c r="M45" s="9"/>
      <c r="N45" s="9"/>
      <c r="O45" s="9"/>
      <c r="P45" s="9"/>
      <c r="Q45" s="9"/>
      <c r="R45" s="9"/>
      <c r="S45" s="9"/>
      <c r="T45" s="9"/>
      <c r="U45" s="9" t="s">
        <v>365</v>
      </c>
      <c r="V45" s="9" t="s">
        <v>264</v>
      </c>
      <c r="W45" s="9" t="s">
        <v>366</v>
      </c>
    </row>
    <row r="46" customFormat="false" ht="15" hidden="false" customHeight="false" outlineLevel="0" collapsed="false">
      <c r="A46" s="9" t="s">
        <v>408</v>
      </c>
      <c r="B46" s="11" t="n">
        <v>46091</v>
      </c>
      <c r="C46" s="9" t="s">
        <v>38</v>
      </c>
      <c r="D46" s="9" t="s">
        <v>262</v>
      </c>
      <c r="E46" s="9" t="s">
        <v>263</v>
      </c>
      <c r="F46" s="9" t="s">
        <v>65</v>
      </c>
      <c r="G46" s="9" t="s">
        <v>20</v>
      </c>
      <c r="H46" s="9" t="s">
        <v>261</v>
      </c>
      <c r="I46" s="5" t="n">
        <v>3000</v>
      </c>
      <c r="J46" s="9" t="s">
        <v>109</v>
      </c>
      <c r="K46" s="9" t="s">
        <v>108</v>
      </c>
      <c r="L46" s="9"/>
      <c r="M46" s="9"/>
      <c r="N46" s="9"/>
      <c r="O46" s="9"/>
      <c r="P46" s="9"/>
      <c r="Q46" s="9"/>
      <c r="R46" s="9"/>
      <c r="S46" s="9"/>
      <c r="T46" s="9"/>
      <c r="U46" s="9" t="s">
        <v>365</v>
      </c>
      <c r="V46" s="9" t="s">
        <v>264</v>
      </c>
      <c r="W46" s="9" t="s">
        <v>366</v>
      </c>
    </row>
    <row r="47" customFormat="false" ht="15" hidden="false" customHeight="false" outlineLevel="0" collapsed="false">
      <c r="A47" s="9" t="s">
        <v>409</v>
      </c>
      <c r="B47" s="11" t="n">
        <v>46122</v>
      </c>
      <c r="C47" s="9" t="s">
        <v>38</v>
      </c>
      <c r="D47" s="9" t="s">
        <v>262</v>
      </c>
      <c r="E47" s="9" t="s">
        <v>263</v>
      </c>
      <c r="F47" s="9" t="s">
        <v>66</v>
      </c>
      <c r="G47" s="9" t="s">
        <v>20</v>
      </c>
      <c r="H47" s="9" t="s">
        <v>261</v>
      </c>
      <c r="I47" s="5" t="n">
        <v>3000</v>
      </c>
      <c r="J47" s="9" t="s">
        <v>109</v>
      </c>
      <c r="K47" s="9" t="s">
        <v>108</v>
      </c>
      <c r="L47" s="9"/>
      <c r="M47" s="9"/>
      <c r="N47" s="9"/>
      <c r="O47" s="9"/>
      <c r="P47" s="9"/>
      <c r="Q47" s="9"/>
      <c r="R47" s="9"/>
      <c r="S47" s="9"/>
      <c r="T47" s="9"/>
      <c r="U47" s="9" t="s">
        <v>365</v>
      </c>
      <c r="V47" s="9" t="s">
        <v>264</v>
      </c>
      <c r="W47" s="9" t="s">
        <v>366</v>
      </c>
    </row>
    <row r="48" customFormat="false" ht="15" hidden="false" customHeight="false" outlineLevel="0" collapsed="false">
      <c r="A48" s="9" t="s">
        <v>410</v>
      </c>
      <c r="B48" s="11" t="n">
        <v>46152</v>
      </c>
      <c r="C48" s="9" t="s">
        <v>38</v>
      </c>
      <c r="D48" s="9" t="s">
        <v>262</v>
      </c>
      <c r="E48" s="9" t="s">
        <v>263</v>
      </c>
      <c r="F48" s="9" t="s">
        <v>67</v>
      </c>
      <c r="G48" s="9" t="s">
        <v>20</v>
      </c>
      <c r="H48" s="9" t="s">
        <v>261</v>
      </c>
      <c r="I48" s="5" t="n">
        <v>3000</v>
      </c>
      <c r="J48" s="9" t="s">
        <v>109</v>
      </c>
      <c r="K48" s="9" t="s">
        <v>108</v>
      </c>
      <c r="L48" s="9"/>
      <c r="M48" s="9"/>
      <c r="N48" s="9"/>
      <c r="O48" s="9"/>
      <c r="P48" s="9"/>
      <c r="Q48" s="9"/>
      <c r="R48" s="9"/>
      <c r="S48" s="9"/>
      <c r="T48" s="9"/>
      <c r="U48" s="9" t="s">
        <v>365</v>
      </c>
      <c r="V48" s="9" t="s">
        <v>264</v>
      </c>
      <c r="W48" s="9" t="s">
        <v>366</v>
      </c>
    </row>
    <row r="49" customFormat="false" ht="15" hidden="false" customHeight="false" outlineLevel="0" collapsed="false">
      <c r="A49" s="9" t="s">
        <v>411</v>
      </c>
      <c r="B49" s="11" t="n">
        <v>46192</v>
      </c>
      <c r="C49" s="9" t="s">
        <v>38</v>
      </c>
      <c r="D49" s="9" t="s">
        <v>262</v>
      </c>
      <c r="E49" s="9" t="s">
        <v>263</v>
      </c>
      <c r="F49" s="9" t="s">
        <v>68</v>
      </c>
      <c r="G49" s="9" t="s">
        <v>20</v>
      </c>
      <c r="H49" s="9" t="s">
        <v>261</v>
      </c>
      <c r="I49" s="5" t="n">
        <v>3000</v>
      </c>
      <c r="J49" s="9" t="s">
        <v>109</v>
      </c>
      <c r="K49" s="9" t="s">
        <v>108</v>
      </c>
      <c r="L49" s="9"/>
      <c r="M49" s="9"/>
      <c r="N49" s="9"/>
      <c r="O49" s="9"/>
      <c r="P49" s="9"/>
      <c r="Q49" s="9"/>
      <c r="R49" s="9"/>
      <c r="S49" s="9"/>
      <c r="T49" s="9"/>
      <c r="U49" s="9" t="s">
        <v>365</v>
      </c>
      <c r="V49" s="9" t="s">
        <v>264</v>
      </c>
      <c r="W49" s="9" t="s">
        <v>366</v>
      </c>
    </row>
    <row r="50" customFormat="false" ht="15" hidden="false" customHeight="false" outlineLevel="0" collapsed="false">
      <c r="A50" s="9" t="s">
        <v>412</v>
      </c>
      <c r="B50" s="11" t="n">
        <v>46178.4166666667</v>
      </c>
      <c r="C50" s="9" t="s">
        <v>38</v>
      </c>
      <c r="D50" s="9" t="s">
        <v>262</v>
      </c>
      <c r="E50" s="9" t="s">
        <v>270</v>
      </c>
      <c r="F50" s="9" t="s">
        <v>76</v>
      </c>
      <c r="G50" s="9" t="s">
        <v>20</v>
      </c>
      <c r="H50" s="9" t="s">
        <v>261</v>
      </c>
      <c r="I50" s="5" t="n">
        <v>1000</v>
      </c>
      <c r="J50" s="9" t="s">
        <v>109</v>
      </c>
      <c r="K50" s="9" t="s">
        <v>108</v>
      </c>
      <c r="L50" s="9"/>
      <c r="M50" s="9"/>
      <c r="N50" s="9"/>
      <c r="O50" s="9"/>
      <c r="P50" s="9"/>
      <c r="Q50" s="9"/>
      <c r="R50" s="9"/>
      <c r="S50" s="9"/>
      <c r="T50" s="9"/>
      <c r="U50" s="9" t="s">
        <v>365</v>
      </c>
      <c r="V50" s="9" t="s">
        <v>264</v>
      </c>
      <c r="W50" s="9" t="s">
        <v>366</v>
      </c>
    </row>
    <row r="51" customFormat="false" ht="15" hidden="false" customHeight="false" outlineLevel="0" collapsed="false">
      <c r="A51" s="9" t="s">
        <v>413</v>
      </c>
      <c r="B51" s="11" t="n">
        <v>46178.4166666667</v>
      </c>
      <c r="C51" s="9" t="s">
        <v>38</v>
      </c>
      <c r="D51" s="9" t="s">
        <v>262</v>
      </c>
      <c r="E51" s="9" t="s">
        <v>270</v>
      </c>
      <c r="F51" s="9" t="s">
        <v>77</v>
      </c>
      <c r="G51" s="9" t="s">
        <v>373</v>
      </c>
      <c r="H51" s="9" t="s">
        <v>261</v>
      </c>
      <c r="I51" s="5" t="n">
        <v>2000</v>
      </c>
      <c r="J51" s="9" t="s">
        <v>109</v>
      </c>
      <c r="K51" s="9" t="s">
        <v>108</v>
      </c>
      <c r="L51" s="9"/>
      <c r="M51" s="9"/>
      <c r="N51" s="9"/>
      <c r="O51" s="9"/>
      <c r="P51" s="9"/>
      <c r="Q51" s="9"/>
      <c r="R51" s="9"/>
      <c r="S51" s="9"/>
      <c r="T51" s="9"/>
      <c r="U51" s="9" t="s">
        <v>365</v>
      </c>
      <c r="V51" s="9" t="s">
        <v>264</v>
      </c>
      <c r="W51" s="9" t="s">
        <v>366</v>
      </c>
    </row>
    <row r="52" customFormat="false" ht="15" hidden="false" customHeight="false" outlineLevel="0" collapsed="false">
      <c r="A52" s="9" t="s">
        <v>414</v>
      </c>
      <c r="B52" s="11" t="n">
        <v>46192.4166666667</v>
      </c>
      <c r="C52" s="9" t="s">
        <v>38</v>
      </c>
      <c r="D52" s="9" t="s">
        <v>262</v>
      </c>
      <c r="E52" s="9" t="s">
        <v>270</v>
      </c>
      <c r="F52" s="9" t="s">
        <v>78</v>
      </c>
      <c r="G52" s="9" t="s">
        <v>20</v>
      </c>
      <c r="H52" s="9" t="s">
        <v>261</v>
      </c>
      <c r="I52" s="5" t="n">
        <v>2000</v>
      </c>
      <c r="J52" s="9" t="s">
        <v>109</v>
      </c>
      <c r="K52" s="9" t="s">
        <v>108</v>
      </c>
      <c r="L52" s="9"/>
      <c r="M52" s="9"/>
      <c r="N52" s="9"/>
      <c r="O52" s="9"/>
      <c r="P52" s="9"/>
      <c r="Q52" s="9"/>
      <c r="R52" s="9"/>
      <c r="S52" s="9"/>
      <c r="T52" s="9"/>
      <c r="U52" s="9" t="s">
        <v>365</v>
      </c>
      <c r="V52" s="9" t="s">
        <v>264</v>
      </c>
      <c r="W52" s="9" t="s">
        <v>366</v>
      </c>
    </row>
    <row r="53" customFormat="false" ht="15" hidden="false" customHeight="false" outlineLevel="0" collapsed="false">
      <c r="A53" s="9" t="s">
        <v>415</v>
      </c>
      <c r="B53" s="11" t="n">
        <v>46091</v>
      </c>
      <c r="C53" s="9" t="s">
        <v>38</v>
      </c>
      <c r="D53" s="9" t="s">
        <v>262</v>
      </c>
      <c r="E53" s="9" t="s">
        <v>263</v>
      </c>
      <c r="F53" s="9" t="s">
        <v>65</v>
      </c>
      <c r="G53" s="9" t="s">
        <v>20</v>
      </c>
      <c r="H53" s="9" t="s">
        <v>261</v>
      </c>
      <c r="I53" s="5" t="n">
        <v>3000</v>
      </c>
      <c r="J53" s="9" t="s">
        <v>111</v>
      </c>
      <c r="K53" s="9" t="s">
        <v>110</v>
      </c>
      <c r="L53" s="9" t="s">
        <v>112</v>
      </c>
      <c r="M53" s="9"/>
      <c r="N53" s="9"/>
      <c r="O53" s="9"/>
      <c r="P53" s="9"/>
      <c r="Q53" s="9"/>
      <c r="R53" s="9"/>
      <c r="S53" s="9"/>
      <c r="T53" s="9"/>
      <c r="U53" s="9" t="s">
        <v>365</v>
      </c>
      <c r="V53" s="9" t="s">
        <v>264</v>
      </c>
      <c r="W53" s="9" t="s">
        <v>366</v>
      </c>
    </row>
    <row r="54" customFormat="false" ht="15" hidden="false" customHeight="false" outlineLevel="0" collapsed="false">
      <c r="A54" s="9" t="s">
        <v>416</v>
      </c>
      <c r="B54" s="11" t="n">
        <v>46122</v>
      </c>
      <c r="C54" s="9" t="s">
        <v>38</v>
      </c>
      <c r="D54" s="9" t="s">
        <v>262</v>
      </c>
      <c r="E54" s="9" t="s">
        <v>263</v>
      </c>
      <c r="F54" s="9" t="s">
        <v>66</v>
      </c>
      <c r="G54" s="9" t="s">
        <v>20</v>
      </c>
      <c r="H54" s="9" t="s">
        <v>261</v>
      </c>
      <c r="I54" s="5" t="n">
        <v>3000</v>
      </c>
      <c r="J54" s="9" t="s">
        <v>111</v>
      </c>
      <c r="K54" s="9" t="s">
        <v>110</v>
      </c>
      <c r="L54" s="9" t="s">
        <v>112</v>
      </c>
      <c r="M54" s="9"/>
      <c r="N54" s="9"/>
      <c r="O54" s="9"/>
      <c r="P54" s="9"/>
      <c r="Q54" s="9"/>
      <c r="R54" s="9"/>
      <c r="S54" s="9"/>
      <c r="T54" s="9"/>
      <c r="U54" s="9" t="s">
        <v>365</v>
      </c>
      <c r="V54" s="9" t="s">
        <v>264</v>
      </c>
      <c r="W54" s="9" t="s">
        <v>366</v>
      </c>
    </row>
    <row r="55" customFormat="false" ht="15" hidden="false" customHeight="false" outlineLevel="0" collapsed="false">
      <c r="A55" s="9" t="s">
        <v>417</v>
      </c>
      <c r="B55" s="11" t="n">
        <v>46152</v>
      </c>
      <c r="C55" s="9" t="s">
        <v>38</v>
      </c>
      <c r="D55" s="9" t="s">
        <v>262</v>
      </c>
      <c r="E55" s="9" t="s">
        <v>263</v>
      </c>
      <c r="F55" s="9" t="s">
        <v>67</v>
      </c>
      <c r="G55" s="9" t="s">
        <v>20</v>
      </c>
      <c r="H55" s="9" t="s">
        <v>261</v>
      </c>
      <c r="I55" s="5" t="n">
        <v>3000</v>
      </c>
      <c r="J55" s="9" t="s">
        <v>111</v>
      </c>
      <c r="K55" s="9" t="s">
        <v>110</v>
      </c>
      <c r="L55" s="9" t="s">
        <v>112</v>
      </c>
      <c r="M55" s="9"/>
      <c r="N55" s="9"/>
      <c r="O55" s="9"/>
      <c r="P55" s="9"/>
      <c r="Q55" s="9"/>
      <c r="R55" s="9"/>
      <c r="S55" s="9"/>
      <c r="T55" s="9"/>
      <c r="U55" s="9" t="s">
        <v>365</v>
      </c>
      <c r="V55" s="9" t="s">
        <v>264</v>
      </c>
      <c r="W55" s="9" t="s">
        <v>366</v>
      </c>
    </row>
    <row r="56" customFormat="false" ht="15" hidden="false" customHeight="false" outlineLevel="0" collapsed="false">
      <c r="A56" s="9" t="s">
        <v>418</v>
      </c>
      <c r="B56" s="11" t="n">
        <v>46192</v>
      </c>
      <c r="C56" s="9" t="s">
        <v>38</v>
      </c>
      <c r="D56" s="9" t="s">
        <v>262</v>
      </c>
      <c r="E56" s="9" t="s">
        <v>263</v>
      </c>
      <c r="F56" s="9" t="s">
        <v>68</v>
      </c>
      <c r="G56" s="9" t="s">
        <v>20</v>
      </c>
      <c r="H56" s="9" t="s">
        <v>261</v>
      </c>
      <c r="I56" s="5" t="n">
        <v>3000</v>
      </c>
      <c r="J56" s="9" t="s">
        <v>111</v>
      </c>
      <c r="K56" s="9" t="s">
        <v>110</v>
      </c>
      <c r="L56" s="9" t="s">
        <v>112</v>
      </c>
      <c r="M56" s="9"/>
      <c r="N56" s="9"/>
      <c r="O56" s="9"/>
      <c r="P56" s="9"/>
      <c r="Q56" s="9"/>
      <c r="R56" s="9"/>
      <c r="S56" s="9"/>
      <c r="T56" s="9"/>
      <c r="U56" s="9" t="s">
        <v>365</v>
      </c>
      <c r="V56" s="9" t="s">
        <v>264</v>
      </c>
      <c r="W56" s="9" t="s">
        <v>366</v>
      </c>
    </row>
    <row r="57" customFormat="false" ht="15" hidden="false" customHeight="false" outlineLevel="0" collapsed="false">
      <c r="A57" s="9" t="s">
        <v>419</v>
      </c>
      <c r="B57" s="11" t="n">
        <v>46213</v>
      </c>
      <c r="C57" s="9" t="s">
        <v>38</v>
      </c>
      <c r="D57" s="9" t="s">
        <v>262</v>
      </c>
      <c r="E57" s="9" t="s">
        <v>263</v>
      </c>
      <c r="F57" s="9" t="s">
        <v>69</v>
      </c>
      <c r="G57" s="9" t="s">
        <v>20</v>
      </c>
      <c r="H57" s="9" t="s">
        <v>261</v>
      </c>
      <c r="I57" s="5" t="n">
        <v>3000</v>
      </c>
      <c r="J57" s="9" t="s">
        <v>111</v>
      </c>
      <c r="K57" s="9" t="s">
        <v>110</v>
      </c>
      <c r="L57" s="9" t="s">
        <v>112</v>
      </c>
      <c r="M57" s="9"/>
      <c r="N57" s="9"/>
      <c r="O57" s="9"/>
      <c r="P57" s="9"/>
      <c r="Q57" s="9"/>
      <c r="R57" s="9"/>
      <c r="S57" s="9"/>
      <c r="T57" s="9"/>
      <c r="U57" s="9" t="s">
        <v>365</v>
      </c>
      <c r="V57" s="9" t="s">
        <v>264</v>
      </c>
      <c r="W57" s="9" t="s">
        <v>366</v>
      </c>
    </row>
    <row r="58" customFormat="false" ht="15" hidden="false" customHeight="false" outlineLevel="0" collapsed="false">
      <c r="A58" s="9" t="s">
        <v>420</v>
      </c>
      <c r="B58" s="11" t="n">
        <v>46178.4166666667</v>
      </c>
      <c r="C58" s="9" t="s">
        <v>38</v>
      </c>
      <c r="D58" s="9" t="s">
        <v>262</v>
      </c>
      <c r="E58" s="9" t="s">
        <v>270</v>
      </c>
      <c r="F58" s="9" t="s">
        <v>76</v>
      </c>
      <c r="G58" s="9" t="s">
        <v>20</v>
      </c>
      <c r="H58" s="9" t="s">
        <v>261</v>
      </c>
      <c r="I58" s="5" t="n">
        <v>1000</v>
      </c>
      <c r="J58" s="9" t="s">
        <v>111</v>
      </c>
      <c r="K58" s="9" t="s">
        <v>110</v>
      </c>
      <c r="L58" s="9" t="s">
        <v>112</v>
      </c>
      <c r="M58" s="9"/>
      <c r="N58" s="9"/>
      <c r="O58" s="9"/>
      <c r="P58" s="9"/>
      <c r="Q58" s="9"/>
      <c r="R58" s="9"/>
      <c r="S58" s="9"/>
      <c r="T58" s="9"/>
      <c r="U58" s="9" t="s">
        <v>365</v>
      </c>
      <c r="V58" s="9" t="s">
        <v>264</v>
      </c>
      <c r="W58" s="9" t="s">
        <v>366</v>
      </c>
    </row>
    <row r="59" customFormat="false" ht="15" hidden="false" customHeight="false" outlineLevel="0" collapsed="false">
      <c r="A59" s="9" t="s">
        <v>421</v>
      </c>
      <c r="B59" s="11" t="n">
        <v>46178.4166666667</v>
      </c>
      <c r="C59" s="9" t="s">
        <v>38</v>
      </c>
      <c r="D59" s="9" t="s">
        <v>262</v>
      </c>
      <c r="E59" s="9" t="s">
        <v>270</v>
      </c>
      <c r="F59" s="9" t="s">
        <v>77</v>
      </c>
      <c r="G59" s="9" t="s">
        <v>20</v>
      </c>
      <c r="H59" s="9" t="s">
        <v>261</v>
      </c>
      <c r="I59" s="5" t="n">
        <v>2000</v>
      </c>
      <c r="J59" s="9" t="s">
        <v>111</v>
      </c>
      <c r="K59" s="9" t="s">
        <v>110</v>
      </c>
      <c r="L59" s="9" t="s">
        <v>112</v>
      </c>
      <c r="M59" s="9"/>
      <c r="N59" s="9"/>
      <c r="O59" s="9"/>
      <c r="P59" s="9"/>
      <c r="Q59" s="9"/>
      <c r="R59" s="9"/>
      <c r="S59" s="9"/>
      <c r="T59" s="9"/>
      <c r="U59" s="9" t="s">
        <v>365</v>
      </c>
      <c r="V59" s="9" t="s">
        <v>264</v>
      </c>
      <c r="W59" s="9" t="s">
        <v>366</v>
      </c>
    </row>
    <row r="60" customFormat="false" ht="15" hidden="false" customHeight="false" outlineLevel="0" collapsed="false">
      <c r="A60" s="9" t="s">
        <v>422</v>
      </c>
      <c r="B60" s="11" t="n">
        <v>46192.4166666667</v>
      </c>
      <c r="C60" s="9" t="s">
        <v>38</v>
      </c>
      <c r="D60" s="9" t="s">
        <v>262</v>
      </c>
      <c r="E60" s="9" t="s">
        <v>270</v>
      </c>
      <c r="F60" s="9" t="s">
        <v>78</v>
      </c>
      <c r="G60" s="9" t="s">
        <v>20</v>
      </c>
      <c r="H60" s="9" t="s">
        <v>261</v>
      </c>
      <c r="I60" s="5" t="n">
        <v>2000</v>
      </c>
      <c r="J60" s="9" t="s">
        <v>111</v>
      </c>
      <c r="K60" s="9" t="s">
        <v>110</v>
      </c>
      <c r="L60" s="9" t="s">
        <v>112</v>
      </c>
      <c r="M60" s="9"/>
      <c r="N60" s="9"/>
      <c r="O60" s="9"/>
      <c r="P60" s="9"/>
      <c r="Q60" s="9"/>
      <c r="R60" s="9"/>
      <c r="S60" s="9"/>
      <c r="T60" s="9"/>
      <c r="U60" s="9" t="s">
        <v>365</v>
      </c>
      <c r="V60" s="9" t="s">
        <v>264</v>
      </c>
      <c r="W60" s="9" t="s">
        <v>366</v>
      </c>
    </row>
    <row r="61" customFormat="false" ht="15" hidden="false" customHeight="false" outlineLevel="0" collapsed="false">
      <c r="A61" s="9" t="s">
        <v>423</v>
      </c>
      <c r="B61" s="11" t="n">
        <v>46178.4166666667</v>
      </c>
      <c r="C61" s="9" t="s">
        <v>38</v>
      </c>
      <c r="D61" s="9" t="s">
        <v>262</v>
      </c>
      <c r="E61" s="9" t="s">
        <v>270</v>
      </c>
      <c r="F61" s="9" t="s">
        <v>81</v>
      </c>
      <c r="G61" s="9" t="s">
        <v>20</v>
      </c>
      <c r="H61" s="9" t="s">
        <v>261</v>
      </c>
      <c r="I61" s="5" t="n">
        <v>1000</v>
      </c>
      <c r="J61" s="9" t="s">
        <v>111</v>
      </c>
      <c r="K61" s="9" t="s">
        <v>110</v>
      </c>
      <c r="L61" s="9" t="s">
        <v>112</v>
      </c>
      <c r="M61" s="9"/>
      <c r="N61" s="9"/>
      <c r="O61" s="9"/>
      <c r="P61" s="9"/>
      <c r="Q61" s="9"/>
      <c r="R61" s="9"/>
      <c r="S61" s="9"/>
      <c r="T61" s="9"/>
      <c r="U61" s="9" t="s">
        <v>365</v>
      </c>
      <c r="V61" s="9" t="s">
        <v>264</v>
      </c>
      <c r="W61" s="9" t="s">
        <v>366</v>
      </c>
    </row>
    <row r="62" customFormat="false" ht="15" hidden="false" customHeight="false" outlineLevel="0" collapsed="false">
      <c r="A62" s="9" t="s">
        <v>424</v>
      </c>
      <c r="B62" s="11" t="n">
        <v>46091</v>
      </c>
      <c r="C62" s="9" t="s">
        <v>38</v>
      </c>
      <c r="D62" s="9" t="s">
        <v>262</v>
      </c>
      <c r="E62" s="9" t="s">
        <v>263</v>
      </c>
      <c r="F62" s="9" t="s">
        <v>65</v>
      </c>
      <c r="G62" s="9" t="s">
        <v>20</v>
      </c>
      <c r="H62" s="9" t="s">
        <v>261</v>
      </c>
      <c r="I62" s="5" t="n">
        <v>3000</v>
      </c>
      <c r="J62" s="9" t="s">
        <v>114</v>
      </c>
      <c r="K62" s="9" t="s">
        <v>113</v>
      </c>
      <c r="L62" s="9" t="s">
        <v>115</v>
      </c>
      <c r="M62" s="9"/>
      <c r="N62" s="9"/>
      <c r="O62" s="9"/>
      <c r="P62" s="9"/>
      <c r="Q62" s="9"/>
      <c r="R62" s="9"/>
      <c r="S62" s="9"/>
      <c r="T62" s="9"/>
      <c r="U62" s="9" t="s">
        <v>365</v>
      </c>
      <c r="V62" s="9" t="s">
        <v>264</v>
      </c>
      <c r="W62" s="9" t="s">
        <v>366</v>
      </c>
    </row>
    <row r="63" customFormat="false" ht="15" hidden="false" customHeight="false" outlineLevel="0" collapsed="false">
      <c r="A63" s="9" t="s">
        <v>425</v>
      </c>
      <c r="B63" s="11" t="n">
        <v>46122</v>
      </c>
      <c r="C63" s="9" t="s">
        <v>38</v>
      </c>
      <c r="D63" s="9" t="s">
        <v>262</v>
      </c>
      <c r="E63" s="9" t="s">
        <v>263</v>
      </c>
      <c r="F63" s="9" t="s">
        <v>66</v>
      </c>
      <c r="G63" s="9" t="s">
        <v>20</v>
      </c>
      <c r="H63" s="9" t="s">
        <v>261</v>
      </c>
      <c r="I63" s="5" t="n">
        <v>3000</v>
      </c>
      <c r="J63" s="9" t="s">
        <v>114</v>
      </c>
      <c r="K63" s="9" t="s">
        <v>113</v>
      </c>
      <c r="L63" s="9" t="s">
        <v>115</v>
      </c>
      <c r="M63" s="9"/>
      <c r="N63" s="9"/>
      <c r="O63" s="9"/>
      <c r="P63" s="9"/>
      <c r="Q63" s="9"/>
      <c r="R63" s="9"/>
      <c r="S63" s="9"/>
      <c r="T63" s="9"/>
      <c r="U63" s="9" t="s">
        <v>365</v>
      </c>
      <c r="V63" s="9" t="s">
        <v>264</v>
      </c>
      <c r="W63" s="9" t="s">
        <v>366</v>
      </c>
    </row>
    <row r="64" customFormat="false" ht="15" hidden="false" customHeight="false" outlineLevel="0" collapsed="false">
      <c r="A64" s="9" t="s">
        <v>426</v>
      </c>
      <c r="B64" s="11" t="n">
        <v>46152</v>
      </c>
      <c r="C64" s="9" t="s">
        <v>38</v>
      </c>
      <c r="D64" s="9" t="s">
        <v>262</v>
      </c>
      <c r="E64" s="9" t="s">
        <v>263</v>
      </c>
      <c r="F64" s="9" t="s">
        <v>67</v>
      </c>
      <c r="G64" s="9" t="s">
        <v>20</v>
      </c>
      <c r="H64" s="9" t="s">
        <v>261</v>
      </c>
      <c r="I64" s="5" t="n">
        <v>3000</v>
      </c>
      <c r="J64" s="9" t="s">
        <v>114</v>
      </c>
      <c r="K64" s="9" t="s">
        <v>113</v>
      </c>
      <c r="L64" s="9" t="s">
        <v>115</v>
      </c>
      <c r="M64" s="9"/>
      <c r="N64" s="9"/>
      <c r="O64" s="9"/>
      <c r="P64" s="9"/>
      <c r="Q64" s="9"/>
      <c r="R64" s="9"/>
      <c r="S64" s="9"/>
      <c r="T64" s="9"/>
      <c r="U64" s="9" t="s">
        <v>365</v>
      </c>
      <c r="V64" s="9" t="s">
        <v>264</v>
      </c>
      <c r="W64" s="9" t="s">
        <v>366</v>
      </c>
    </row>
    <row r="65" customFormat="false" ht="15" hidden="false" customHeight="false" outlineLevel="0" collapsed="false">
      <c r="A65" s="9" t="s">
        <v>427</v>
      </c>
      <c r="B65" s="11" t="n">
        <v>46192</v>
      </c>
      <c r="C65" s="9" t="s">
        <v>38</v>
      </c>
      <c r="D65" s="9" t="s">
        <v>262</v>
      </c>
      <c r="E65" s="9" t="s">
        <v>263</v>
      </c>
      <c r="F65" s="9" t="s">
        <v>68</v>
      </c>
      <c r="G65" s="9" t="s">
        <v>20</v>
      </c>
      <c r="H65" s="9" t="s">
        <v>261</v>
      </c>
      <c r="I65" s="5" t="n">
        <v>3000</v>
      </c>
      <c r="J65" s="9" t="s">
        <v>114</v>
      </c>
      <c r="K65" s="9" t="s">
        <v>113</v>
      </c>
      <c r="L65" s="9" t="s">
        <v>115</v>
      </c>
      <c r="M65" s="9"/>
      <c r="N65" s="9"/>
      <c r="O65" s="9"/>
      <c r="P65" s="9"/>
      <c r="Q65" s="9"/>
      <c r="R65" s="9"/>
      <c r="S65" s="9"/>
      <c r="T65" s="9"/>
      <c r="U65" s="9" t="s">
        <v>365</v>
      </c>
      <c r="V65" s="9" t="s">
        <v>264</v>
      </c>
      <c r="W65" s="9" t="s">
        <v>366</v>
      </c>
    </row>
    <row r="66" customFormat="false" ht="15" hidden="false" customHeight="false" outlineLevel="0" collapsed="false">
      <c r="A66" s="9" t="s">
        <v>428</v>
      </c>
      <c r="B66" s="11" t="n">
        <v>46213</v>
      </c>
      <c r="C66" s="9" t="s">
        <v>38</v>
      </c>
      <c r="D66" s="9" t="s">
        <v>262</v>
      </c>
      <c r="E66" s="9" t="s">
        <v>263</v>
      </c>
      <c r="F66" s="9" t="s">
        <v>69</v>
      </c>
      <c r="G66" s="9" t="s">
        <v>20</v>
      </c>
      <c r="H66" s="9" t="s">
        <v>261</v>
      </c>
      <c r="I66" s="5" t="n">
        <v>3000</v>
      </c>
      <c r="J66" s="9" t="s">
        <v>114</v>
      </c>
      <c r="K66" s="9" t="s">
        <v>113</v>
      </c>
      <c r="L66" s="9" t="s">
        <v>115</v>
      </c>
      <c r="M66" s="9"/>
      <c r="N66" s="9"/>
      <c r="O66" s="9"/>
      <c r="P66" s="9"/>
      <c r="Q66" s="9"/>
      <c r="R66" s="9"/>
      <c r="S66" s="9"/>
      <c r="T66" s="9"/>
      <c r="U66" s="9" t="s">
        <v>365</v>
      </c>
      <c r="V66" s="9" t="s">
        <v>264</v>
      </c>
      <c r="W66" s="9" t="s">
        <v>366</v>
      </c>
    </row>
    <row r="67" customFormat="false" ht="15" hidden="false" customHeight="false" outlineLevel="0" collapsed="false">
      <c r="A67" s="9" t="s">
        <v>429</v>
      </c>
      <c r="B67" s="11" t="n">
        <v>46244</v>
      </c>
      <c r="C67" s="9" t="s">
        <v>38</v>
      </c>
      <c r="D67" s="9" t="s">
        <v>262</v>
      </c>
      <c r="E67" s="9" t="s">
        <v>263</v>
      </c>
      <c r="F67" s="9" t="s">
        <v>70</v>
      </c>
      <c r="G67" s="9" t="s">
        <v>20</v>
      </c>
      <c r="H67" s="9" t="s">
        <v>261</v>
      </c>
      <c r="I67" s="5" t="n">
        <v>3000</v>
      </c>
      <c r="J67" s="9" t="s">
        <v>114</v>
      </c>
      <c r="K67" s="9" t="s">
        <v>113</v>
      </c>
      <c r="L67" s="9" t="s">
        <v>115</v>
      </c>
      <c r="M67" s="9"/>
      <c r="N67" s="9"/>
      <c r="O67" s="9"/>
      <c r="P67" s="9"/>
      <c r="Q67" s="9"/>
      <c r="R67" s="9"/>
      <c r="S67" s="9"/>
      <c r="T67" s="9"/>
      <c r="U67" s="9" t="s">
        <v>365</v>
      </c>
      <c r="V67" s="9" t="s">
        <v>264</v>
      </c>
      <c r="W67" s="9" t="s">
        <v>366</v>
      </c>
    </row>
    <row r="68" customFormat="false" ht="15" hidden="false" customHeight="false" outlineLevel="0" collapsed="false">
      <c r="A68" s="9" t="s">
        <v>430</v>
      </c>
      <c r="B68" s="11" t="n">
        <v>46178.4166666667</v>
      </c>
      <c r="C68" s="9" t="s">
        <v>38</v>
      </c>
      <c r="D68" s="9" t="s">
        <v>262</v>
      </c>
      <c r="E68" s="9" t="s">
        <v>270</v>
      </c>
      <c r="F68" s="9" t="s">
        <v>76</v>
      </c>
      <c r="G68" s="9" t="s">
        <v>20</v>
      </c>
      <c r="H68" s="9" t="s">
        <v>261</v>
      </c>
      <c r="I68" s="5" t="n">
        <v>1000</v>
      </c>
      <c r="J68" s="9" t="s">
        <v>114</v>
      </c>
      <c r="K68" s="9" t="s">
        <v>113</v>
      </c>
      <c r="L68" s="9" t="s">
        <v>115</v>
      </c>
      <c r="M68" s="9"/>
      <c r="N68" s="9"/>
      <c r="O68" s="9"/>
      <c r="P68" s="9"/>
      <c r="Q68" s="9"/>
      <c r="R68" s="9"/>
      <c r="S68" s="9"/>
      <c r="T68" s="9"/>
      <c r="U68" s="9" t="s">
        <v>365</v>
      </c>
      <c r="V68" s="9" t="s">
        <v>264</v>
      </c>
      <c r="W68" s="9" t="s">
        <v>366</v>
      </c>
    </row>
    <row r="69" customFormat="false" ht="15" hidden="false" customHeight="false" outlineLevel="0" collapsed="false">
      <c r="A69" s="9" t="s">
        <v>431</v>
      </c>
      <c r="B69" s="11" t="n">
        <v>46178.4166666667</v>
      </c>
      <c r="C69" s="9" t="s">
        <v>38</v>
      </c>
      <c r="D69" s="9" t="s">
        <v>262</v>
      </c>
      <c r="E69" s="9" t="s">
        <v>270</v>
      </c>
      <c r="F69" s="9" t="s">
        <v>77</v>
      </c>
      <c r="G69" s="9" t="s">
        <v>20</v>
      </c>
      <c r="H69" s="9" t="s">
        <v>261</v>
      </c>
      <c r="I69" s="5" t="n">
        <v>2000</v>
      </c>
      <c r="J69" s="9" t="s">
        <v>114</v>
      </c>
      <c r="K69" s="9" t="s">
        <v>113</v>
      </c>
      <c r="L69" s="9" t="s">
        <v>115</v>
      </c>
      <c r="M69" s="9"/>
      <c r="N69" s="9"/>
      <c r="O69" s="9"/>
      <c r="P69" s="9"/>
      <c r="Q69" s="9"/>
      <c r="R69" s="9"/>
      <c r="S69" s="9"/>
      <c r="T69" s="9"/>
      <c r="U69" s="9" t="s">
        <v>365</v>
      </c>
      <c r="V69" s="9" t="s">
        <v>264</v>
      </c>
      <c r="W69" s="9" t="s">
        <v>366</v>
      </c>
    </row>
    <row r="70" customFormat="false" ht="15" hidden="false" customHeight="false" outlineLevel="0" collapsed="false">
      <c r="A70" s="9" t="s">
        <v>432</v>
      </c>
      <c r="B70" s="11" t="n">
        <v>46091</v>
      </c>
      <c r="C70" s="9" t="s">
        <v>38</v>
      </c>
      <c r="D70" s="9" t="s">
        <v>262</v>
      </c>
      <c r="E70" s="9" t="s">
        <v>263</v>
      </c>
      <c r="F70" s="9" t="s">
        <v>65</v>
      </c>
      <c r="G70" s="9" t="s">
        <v>20</v>
      </c>
      <c r="H70" s="9" t="s">
        <v>261</v>
      </c>
      <c r="I70" s="5" t="n">
        <v>3000</v>
      </c>
      <c r="J70" s="9" t="s">
        <v>117</v>
      </c>
      <c r="K70" s="9" t="s">
        <v>116</v>
      </c>
      <c r="L70" s="9" t="s">
        <v>118</v>
      </c>
      <c r="M70" s="9"/>
      <c r="N70" s="9"/>
      <c r="O70" s="9"/>
      <c r="P70" s="9"/>
      <c r="Q70" s="9"/>
      <c r="R70" s="9"/>
      <c r="S70" s="9"/>
      <c r="T70" s="9"/>
      <c r="U70" s="9" t="s">
        <v>365</v>
      </c>
      <c r="V70" s="9" t="s">
        <v>264</v>
      </c>
      <c r="W70" s="9" t="s">
        <v>366</v>
      </c>
    </row>
    <row r="71" customFormat="false" ht="15" hidden="false" customHeight="false" outlineLevel="0" collapsed="false">
      <c r="A71" s="9" t="s">
        <v>433</v>
      </c>
      <c r="B71" s="11" t="n">
        <v>46178.4166666667</v>
      </c>
      <c r="C71" s="9" t="s">
        <v>38</v>
      </c>
      <c r="D71" s="9" t="s">
        <v>262</v>
      </c>
      <c r="E71" s="9" t="s">
        <v>270</v>
      </c>
      <c r="F71" s="9" t="s">
        <v>76</v>
      </c>
      <c r="G71" s="9" t="s">
        <v>20</v>
      </c>
      <c r="H71" s="9" t="s">
        <v>261</v>
      </c>
      <c r="I71" s="5" t="n">
        <v>1000</v>
      </c>
      <c r="J71" s="9" t="s">
        <v>117</v>
      </c>
      <c r="K71" s="9" t="s">
        <v>116</v>
      </c>
      <c r="L71" s="9" t="s">
        <v>118</v>
      </c>
      <c r="M71" s="9"/>
      <c r="N71" s="9"/>
      <c r="O71" s="9"/>
      <c r="P71" s="9"/>
      <c r="Q71" s="9"/>
      <c r="R71" s="9"/>
      <c r="S71" s="9"/>
      <c r="T71" s="9"/>
      <c r="U71" s="9" t="s">
        <v>365</v>
      </c>
      <c r="V71" s="9" t="s">
        <v>264</v>
      </c>
      <c r="W71" s="9" t="s">
        <v>366</v>
      </c>
    </row>
    <row r="72" customFormat="false" ht="15" hidden="false" customHeight="false" outlineLevel="0" collapsed="false">
      <c r="A72" s="9" t="s">
        <v>434</v>
      </c>
      <c r="B72" s="11" t="n">
        <v>46178.4166666667</v>
      </c>
      <c r="C72" s="9" t="s">
        <v>38</v>
      </c>
      <c r="D72" s="9" t="s">
        <v>262</v>
      </c>
      <c r="E72" s="9" t="s">
        <v>270</v>
      </c>
      <c r="F72" s="9" t="s">
        <v>77</v>
      </c>
      <c r="G72" s="9" t="s">
        <v>373</v>
      </c>
      <c r="H72" s="9" t="s">
        <v>261</v>
      </c>
      <c r="I72" s="5" t="n">
        <v>2000</v>
      </c>
      <c r="J72" s="9" t="s">
        <v>117</v>
      </c>
      <c r="K72" s="9" t="s">
        <v>116</v>
      </c>
      <c r="L72" s="9" t="s">
        <v>118</v>
      </c>
      <c r="M72" s="9"/>
      <c r="N72" s="9"/>
      <c r="O72" s="9"/>
      <c r="P72" s="9"/>
      <c r="Q72" s="9"/>
      <c r="R72" s="9"/>
      <c r="S72" s="9"/>
      <c r="T72" s="9"/>
      <c r="U72" s="9" t="s">
        <v>365</v>
      </c>
      <c r="V72" s="9" t="s">
        <v>264</v>
      </c>
      <c r="W72" s="9" t="s">
        <v>366</v>
      </c>
    </row>
    <row r="73" customFormat="false" ht="15" hidden="false" customHeight="false" outlineLevel="0" collapsed="false">
      <c r="A73" s="9" t="s">
        <v>435</v>
      </c>
      <c r="B73" s="11" t="n">
        <v>46192.4166666667</v>
      </c>
      <c r="C73" s="9" t="s">
        <v>38</v>
      </c>
      <c r="D73" s="9" t="s">
        <v>262</v>
      </c>
      <c r="E73" s="9" t="s">
        <v>270</v>
      </c>
      <c r="F73" s="9" t="s">
        <v>78</v>
      </c>
      <c r="G73" s="9" t="s">
        <v>20</v>
      </c>
      <c r="H73" s="9" t="s">
        <v>261</v>
      </c>
      <c r="I73" s="5" t="n">
        <v>2000</v>
      </c>
      <c r="J73" s="9" t="s">
        <v>117</v>
      </c>
      <c r="K73" s="9" t="s">
        <v>116</v>
      </c>
      <c r="L73" s="9" t="s">
        <v>118</v>
      </c>
      <c r="M73" s="9"/>
      <c r="N73" s="9"/>
      <c r="O73" s="9"/>
      <c r="P73" s="9"/>
      <c r="Q73" s="9"/>
      <c r="R73" s="9"/>
      <c r="S73" s="9"/>
      <c r="T73" s="9"/>
      <c r="U73" s="9" t="s">
        <v>365</v>
      </c>
      <c r="V73" s="9" t="s">
        <v>264</v>
      </c>
      <c r="W73" s="9" t="s">
        <v>366</v>
      </c>
    </row>
    <row r="74" customFormat="false" ht="15" hidden="false" customHeight="false" outlineLevel="0" collapsed="false">
      <c r="A74" s="9" t="s">
        <v>436</v>
      </c>
      <c r="B74" s="11" t="n">
        <v>46091</v>
      </c>
      <c r="C74" s="9" t="s">
        <v>38</v>
      </c>
      <c r="D74" s="9" t="s">
        <v>262</v>
      </c>
      <c r="E74" s="9" t="s">
        <v>263</v>
      </c>
      <c r="F74" s="9" t="s">
        <v>65</v>
      </c>
      <c r="G74" s="9" t="s">
        <v>20</v>
      </c>
      <c r="H74" s="9" t="s">
        <v>261</v>
      </c>
      <c r="I74" s="5" t="n">
        <v>3000</v>
      </c>
      <c r="J74" s="9" t="s">
        <v>120</v>
      </c>
      <c r="K74" s="9" t="s">
        <v>119</v>
      </c>
      <c r="L74" s="9" t="s">
        <v>118</v>
      </c>
      <c r="M74" s="9"/>
      <c r="N74" s="9"/>
      <c r="O74" s="9"/>
      <c r="P74" s="9"/>
      <c r="Q74" s="9"/>
      <c r="R74" s="9"/>
      <c r="S74" s="9"/>
      <c r="T74" s="9"/>
      <c r="U74" s="9" t="s">
        <v>365</v>
      </c>
      <c r="V74" s="9" t="s">
        <v>264</v>
      </c>
      <c r="W74" s="9" t="s">
        <v>366</v>
      </c>
    </row>
    <row r="75" customFormat="false" ht="15" hidden="false" customHeight="false" outlineLevel="0" collapsed="false">
      <c r="A75" s="9" t="s">
        <v>437</v>
      </c>
      <c r="B75" s="11" t="n">
        <v>46178.4166666667</v>
      </c>
      <c r="C75" s="9" t="s">
        <v>38</v>
      </c>
      <c r="D75" s="9" t="s">
        <v>262</v>
      </c>
      <c r="E75" s="9" t="s">
        <v>270</v>
      </c>
      <c r="F75" s="9" t="s">
        <v>76</v>
      </c>
      <c r="G75" s="9" t="s">
        <v>20</v>
      </c>
      <c r="H75" s="9" t="s">
        <v>261</v>
      </c>
      <c r="I75" s="5" t="n">
        <v>1000</v>
      </c>
      <c r="J75" s="9" t="s">
        <v>120</v>
      </c>
      <c r="K75" s="9" t="s">
        <v>119</v>
      </c>
      <c r="L75" s="9" t="s">
        <v>118</v>
      </c>
      <c r="M75" s="9"/>
      <c r="N75" s="9"/>
      <c r="O75" s="9"/>
      <c r="P75" s="9"/>
      <c r="Q75" s="9"/>
      <c r="R75" s="9"/>
      <c r="S75" s="9"/>
      <c r="T75" s="9"/>
      <c r="U75" s="9" t="s">
        <v>365</v>
      </c>
      <c r="V75" s="9" t="s">
        <v>264</v>
      </c>
      <c r="W75" s="9" t="s">
        <v>366</v>
      </c>
    </row>
    <row r="76" customFormat="false" ht="15" hidden="false" customHeight="false" outlineLevel="0" collapsed="false">
      <c r="A76" s="9" t="s">
        <v>438</v>
      </c>
      <c r="B76" s="11" t="n">
        <v>46178.4166666667</v>
      </c>
      <c r="C76" s="9" t="s">
        <v>38</v>
      </c>
      <c r="D76" s="9" t="s">
        <v>262</v>
      </c>
      <c r="E76" s="9" t="s">
        <v>270</v>
      </c>
      <c r="F76" s="9" t="s">
        <v>77</v>
      </c>
      <c r="G76" s="9" t="s">
        <v>373</v>
      </c>
      <c r="H76" s="9" t="s">
        <v>261</v>
      </c>
      <c r="I76" s="5" t="n">
        <v>2000</v>
      </c>
      <c r="J76" s="9" t="s">
        <v>120</v>
      </c>
      <c r="K76" s="9" t="s">
        <v>119</v>
      </c>
      <c r="L76" s="9" t="s">
        <v>118</v>
      </c>
      <c r="M76" s="9"/>
      <c r="N76" s="9"/>
      <c r="O76" s="9"/>
      <c r="P76" s="9"/>
      <c r="Q76" s="9"/>
      <c r="R76" s="9"/>
      <c r="S76" s="9"/>
      <c r="T76" s="9"/>
      <c r="U76" s="9" t="s">
        <v>365</v>
      </c>
      <c r="V76" s="9" t="s">
        <v>264</v>
      </c>
      <c r="W76" s="9" t="s">
        <v>366</v>
      </c>
    </row>
    <row r="77" customFormat="false" ht="15" hidden="false" customHeight="false" outlineLevel="0" collapsed="false">
      <c r="A77" s="9" t="s">
        <v>439</v>
      </c>
      <c r="B77" s="11" t="n">
        <v>46192.4166666667</v>
      </c>
      <c r="C77" s="9" t="s">
        <v>38</v>
      </c>
      <c r="D77" s="9" t="s">
        <v>262</v>
      </c>
      <c r="E77" s="9" t="s">
        <v>270</v>
      </c>
      <c r="F77" s="9" t="s">
        <v>78</v>
      </c>
      <c r="G77" s="9" t="s">
        <v>20</v>
      </c>
      <c r="H77" s="9" t="s">
        <v>261</v>
      </c>
      <c r="I77" s="5" t="n">
        <v>2000</v>
      </c>
      <c r="J77" s="9" t="s">
        <v>120</v>
      </c>
      <c r="K77" s="9" t="s">
        <v>119</v>
      </c>
      <c r="L77" s="9" t="s">
        <v>118</v>
      </c>
      <c r="M77" s="9"/>
      <c r="N77" s="9"/>
      <c r="O77" s="9"/>
      <c r="P77" s="9"/>
      <c r="Q77" s="9"/>
      <c r="R77" s="9"/>
      <c r="S77" s="9"/>
      <c r="T77" s="9"/>
      <c r="U77" s="9" t="s">
        <v>365</v>
      </c>
      <c r="V77" s="9" t="s">
        <v>264</v>
      </c>
      <c r="W77" s="9" t="s">
        <v>366</v>
      </c>
    </row>
    <row r="78" customFormat="false" ht="15" hidden="false" customHeight="false" outlineLevel="0" collapsed="false">
      <c r="A78" s="9" t="s">
        <v>440</v>
      </c>
      <c r="B78" s="11" t="n">
        <v>46091</v>
      </c>
      <c r="C78" s="9" t="s">
        <v>38</v>
      </c>
      <c r="D78" s="9" t="s">
        <v>262</v>
      </c>
      <c r="E78" s="9" t="s">
        <v>263</v>
      </c>
      <c r="F78" s="9" t="s">
        <v>65</v>
      </c>
      <c r="G78" s="9" t="s">
        <v>20</v>
      </c>
      <c r="H78" s="9" t="s">
        <v>261</v>
      </c>
      <c r="I78" s="5" t="n">
        <v>3000</v>
      </c>
      <c r="J78" s="9" t="s">
        <v>122</v>
      </c>
      <c r="K78" s="9" t="s">
        <v>121</v>
      </c>
      <c r="L78" s="9" t="s">
        <v>123</v>
      </c>
      <c r="M78" s="9"/>
      <c r="N78" s="9"/>
      <c r="O78" s="9"/>
      <c r="P78" s="9"/>
      <c r="Q78" s="9"/>
      <c r="R78" s="9"/>
      <c r="S78" s="9"/>
      <c r="T78" s="9"/>
      <c r="U78" s="9" t="s">
        <v>365</v>
      </c>
      <c r="V78" s="9" t="s">
        <v>264</v>
      </c>
      <c r="W78" s="9" t="s">
        <v>366</v>
      </c>
    </row>
    <row r="79" customFormat="false" ht="15" hidden="false" customHeight="false" outlineLevel="0" collapsed="false">
      <c r="A79" s="9" t="s">
        <v>441</v>
      </c>
      <c r="B79" s="11" t="n">
        <v>46178.4166666667</v>
      </c>
      <c r="C79" s="9" t="s">
        <v>38</v>
      </c>
      <c r="D79" s="9" t="s">
        <v>262</v>
      </c>
      <c r="E79" s="9" t="s">
        <v>270</v>
      </c>
      <c r="F79" s="9" t="s">
        <v>76</v>
      </c>
      <c r="G79" s="9" t="s">
        <v>20</v>
      </c>
      <c r="H79" s="9" t="s">
        <v>261</v>
      </c>
      <c r="I79" s="5" t="n">
        <v>1000</v>
      </c>
      <c r="J79" s="9" t="s">
        <v>122</v>
      </c>
      <c r="K79" s="9" t="s">
        <v>121</v>
      </c>
      <c r="L79" s="9" t="s">
        <v>123</v>
      </c>
      <c r="M79" s="9"/>
      <c r="N79" s="9"/>
      <c r="O79" s="9"/>
      <c r="P79" s="9"/>
      <c r="Q79" s="9"/>
      <c r="R79" s="9"/>
      <c r="S79" s="9"/>
      <c r="T79" s="9"/>
      <c r="U79" s="9" t="s">
        <v>365</v>
      </c>
      <c r="V79" s="9" t="s">
        <v>264</v>
      </c>
      <c r="W79" s="9" t="s">
        <v>366</v>
      </c>
    </row>
    <row r="80" customFormat="false" ht="15" hidden="false" customHeight="false" outlineLevel="0" collapsed="false">
      <c r="A80" s="9" t="s">
        <v>442</v>
      </c>
      <c r="B80" s="11" t="n">
        <v>46178.4166666667</v>
      </c>
      <c r="C80" s="9" t="s">
        <v>38</v>
      </c>
      <c r="D80" s="9" t="s">
        <v>262</v>
      </c>
      <c r="E80" s="9" t="s">
        <v>270</v>
      </c>
      <c r="F80" s="9" t="s">
        <v>77</v>
      </c>
      <c r="G80" s="9" t="s">
        <v>373</v>
      </c>
      <c r="H80" s="9" t="s">
        <v>261</v>
      </c>
      <c r="I80" s="5" t="n">
        <v>2000</v>
      </c>
      <c r="J80" s="9" t="s">
        <v>122</v>
      </c>
      <c r="K80" s="9" t="s">
        <v>121</v>
      </c>
      <c r="L80" s="9" t="s">
        <v>123</v>
      </c>
      <c r="M80" s="9"/>
      <c r="N80" s="9"/>
      <c r="O80" s="9"/>
      <c r="P80" s="9"/>
      <c r="Q80" s="9"/>
      <c r="R80" s="9"/>
      <c r="S80" s="9"/>
      <c r="T80" s="9"/>
      <c r="U80" s="9" t="s">
        <v>365</v>
      </c>
      <c r="V80" s="9" t="s">
        <v>264</v>
      </c>
      <c r="W80" s="9" t="s">
        <v>366</v>
      </c>
    </row>
    <row r="81" customFormat="false" ht="15" hidden="false" customHeight="false" outlineLevel="0" collapsed="false">
      <c r="A81" s="9" t="s">
        <v>443</v>
      </c>
      <c r="B81" s="11" t="n">
        <v>46192.4166666667</v>
      </c>
      <c r="C81" s="9" t="s">
        <v>38</v>
      </c>
      <c r="D81" s="9" t="s">
        <v>262</v>
      </c>
      <c r="E81" s="9" t="s">
        <v>270</v>
      </c>
      <c r="F81" s="9" t="s">
        <v>78</v>
      </c>
      <c r="G81" s="9" t="s">
        <v>20</v>
      </c>
      <c r="H81" s="9" t="s">
        <v>261</v>
      </c>
      <c r="I81" s="5" t="n">
        <v>2000</v>
      </c>
      <c r="J81" s="9" t="s">
        <v>122</v>
      </c>
      <c r="K81" s="9" t="s">
        <v>121</v>
      </c>
      <c r="L81" s="9" t="s">
        <v>123</v>
      </c>
      <c r="M81" s="9"/>
      <c r="N81" s="9"/>
      <c r="O81" s="9"/>
      <c r="P81" s="9"/>
      <c r="Q81" s="9"/>
      <c r="R81" s="9"/>
      <c r="S81" s="9"/>
      <c r="T81" s="9"/>
      <c r="U81" s="9" t="s">
        <v>365</v>
      </c>
      <c r="V81" s="9" t="s">
        <v>264</v>
      </c>
      <c r="W81" s="9" t="s">
        <v>366</v>
      </c>
    </row>
    <row r="82" customFormat="false" ht="15" hidden="false" customHeight="false" outlineLevel="0" collapsed="false">
      <c r="A82" s="9" t="s">
        <v>444</v>
      </c>
      <c r="B82" s="11" t="n">
        <v>46178.4166666667</v>
      </c>
      <c r="C82" s="9" t="s">
        <v>38</v>
      </c>
      <c r="D82" s="9" t="s">
        <v>262</v>
      </c>
      <c r="E82" s="9" t="s">
        <v>270</v>
      </c>
      <c r="F82" s="9" t="s">
        <v>76</v>
      </c>
      <c r="G82" s="9" t="s">
        <v>373</v>
      </c>
      <c r="H82" s="9" t="s">
        <v>261</v>
      </c>
      <c r="I82" s="5" t="n">
        <v>1000</v>
      </c>
      <c r="J82" s="9" t="s">
        <v>125</v>
      </c>
      <c r="K82" s="9" t="s">
        <v>124</v>
      </c>
      <c r="L82" s="9"/>
      <c r="M82" s="9"/>
      <c r="N82" s="9"/>
      <c r="O82" s="9"/>
      <c r="P82" s="9"/>
      <c r="Q82" s="9"/>
      <c r="R82" s="9"/>
      <c r="S82" s="9"/>
      <c r="T82" s="9"/>
      <c r="U82" s="9" t="s">
        <v>365</v>
      </c>
      <c r="V82" s="9" t="s">
        <v>264</v>
      </c>
      <c r="W82" s="9" t="s">
        <v>366</v>
      </c>
    </row>
    <row r="83" customFormat="false" ht="15" hidden="false" customHeight="false" outlineLevel="0" collapsed="false">
      <c r="A83" s="9" t="s">
        <v>445</v>
      </c>
      <c r="B83" s="11" t="n">
        <v>46178.4166666667</v>
      </c>
      <c r="C83" s="9" t="s">
        <v>38</v>
      </c>
      <c r="D83" s="9" t="s">
        <v>262</v>
      </c>
      <c r="E83" s="9" t="s">
        <v>270</v>
      </c>
      <c r="F83" s="9" t="s">
        <v>77</v>
      </c>
      <c r="G83" s="9" t="s">
        <v>373</v>
      </c>
      <c r="H83" s="9" t="s">
        <v>261</v>
      </c>
      <c r="I83" s="5" t="n">
        <v>2000</v>
      </c>
      <c r="J83" s="9" t="s">
        <v>125</v>
      </c>
      <c r="K83" s="9" t="s">
        <v>124</v>
      </c>
      <c r="L83" s="9"/>
      <c r="M83" s="9"/>
      <c r="N83" s="9"/>
      <c r="O83" s="9"/>
      <c r="P83" s="9"/>
      <c r="Q83" s="9"/>
      <c r="R83" s="9"/>
      <c r="S83" s="9"/>
      <c r="T83" s="9"/>
      <c r="U83" s="9" t="s">
        <v>365</v>
      </c>
      <c r="V83" s="9" t="s">
        <v>264</v>
      </c>
      <c r="W83" s="9" t="s">
        <v>366</v>
      </c>
    </row>
    <row r="84" customFormat="false" ht="15" hidden="false" customHeight="false" outlineLevel="0" collapsed="false">
      <c r="A84" s="9" t="s">
        <v>446</v>
      </c>
      <c r="B84" s="11" t="n">
        <v>46192.4166666667</v>
      </c>
      <c r="C84" s="9" t="s">
        <v>38</v>
      </c>
      <c r="D84" s="9" t="s">
        <v>262</v>
      </c>
      <c r="E84" s="9" t="s">
        <v>270</v>
      </c>
      <c r="F84" s="9" t="s">
        <v>78</v>
      </c>
      <c r="G84" s="9" t="s">
        <v>20</v>
      </c>
      <c r="H84" s="9" t="s">
        <v>261</v>
      </c>
      <c r="I84" s="5" t="n">
        <v>2000</v>
      </c>
      <c r="J84" s="9" t="s">
        <v>125</v>
      </c>
      <c r="K84" s="9" t="s">
        <v>124</v>
      </c>
      <c r="L84" s="9"/>
      <c r="M84" s="9"/>
      <c r="N84" s="9"/>
      <c r="O84" s="9"/>
      <c r="P84" s="9"/>
      <c r="Q84" s="9"/>
      <c r="R84" s="9"/>
      <c r="S84" s="9"/>
      <c r="T84" s="9"/>
      <c r="U84" s="9" t="s">
        <v>365</v>
      </c>
      <c r="V84" s="9" t="s">
        <v>264</v>
      </c>
      <c r="W84" s="9" t="s">
        <v>366</v>
      </c>
    </row>
    <row r="85" customFormat="false" ht="15" hidden="false" customHeight="false" outlineLevel="0" collapsed="false">
      <c r="A85" s="9" t="s">
        <v>447</v>
      </c>
      <c r="B85" s="11" t="n">
        <v>46091</v>
      </c>
      <c r="C85" s="9" t="s">
        <v>38</v>
      </c>
      <c r="D85" s="9" t="s">
        <v>262</v>
      </c>
      <c r="E85" s="9" t="s">
        <v>263</v>
      </c>
      <c r="F85" s="9" t="s">
        <v>65</v>
      </c>
      <c r="G85" s="9" t="s">
        <v>20</v>
      </c>
      <c r="H85" s="9" t="s">
        <v>261</v>
      </c>
      <c r="I85" s="5" t="n">
        <v>3000</v>
      </c>
      <c r="J85" s="9" t="s">
        <v>127</v>
      </c>
      <c r="K85" s="9" t="s">
        <v>126</v>
      </c>
      <c r="L85" s="9" t="s">
        <v>128</v>
      </c>
      <c r="M85" s="9"/>
      <c r="N85" s="9"/>
      <c r="O85" s="9"/>
      <c r="P85" s="9"/>
      <c r="Q85" s="9"/>
      <c r="R85" s="9"/>
      <c r="S85" s="9"/>
      <c r="T85" s="9"/>
      <c r="U85" s="9" t="s">
        <v>365</v>
      </c>
      <c r="V85" s="9" t="s">
        <v>264</v>
      </c>
      <c r="W85" s="9" t="s">
        <v>366</v>
      </c>
    </row>
    <row r="86" customFormat="false" ht="15" hidden="false" customHeight="false" outlineLevel="0" collapsed="false">
      <c r="A86" s="9" t="s">
        <v>448</v>
      </c>
      <c r="B86" s="11" t="n">
        <v>46122</v>
      </c>
      <c r="C86" s="9" t="s">
        <v>38</v>
      </c>
      <c r="D86" s="9" t="s">
        <v>262</v>
      </c>
      <c r="E86" s="9" t="s">
        <v>263</v>
      </c>
      <c r="F86" s="9" t="s">
        <v>66</v>
      </c>
      <c r="G86" s="9" t="s">
        <v>20</v>
      </c>
      <c r="H86" s="9" t="s">
        <v>261</v>
      </c>
      <c r="I86" s="5" t="n">
        <v>3000</v>
      </c>
      <c r="J86" s="9" t="s">
        <v>127</v>
      </c>
      <c r="K86" s="9" t="s">
        <v>126</v>
      </c>
      <c r="L86" s="9" t="s">
        <v>128</v>
      </c>
      <c r="M86" s="9"/>
      <c r="N86" s="9"/>
      <c r="O86" s="9"/>
      <c r="P86" s="9"/>
      <c r="Q86" s="9"/>
      <c r="R86" s="9"/>
      <c r="S86" s="9"/>
      <c r="T86" s="9"/>
      <c r="U86" s="9" t="s">
        <v>365</v>
      </c>
      <c r="V86" s="9" t="s">
        <v>264</v>
      </c>
      <c r="W86" s="9" t="s">
        <v>366</v>
      </c>
    </row>
    <row r="87" customFormat="false" ht="15" hidden="false" customHeight="false" outlineLevel="0" collapsed="false">
      <c r="A87" s="9" t="s">
        <v>449</v>
      </c>
      <c r="B87" s="11" t="n">
        <v>46152</v>
      </c>
      <c r="C87" s="9" t="s">
        <v>38</v>
      </c>
      <c r="D87" s="9" t="s">
        <v>262</v>
      </c>
      <c r="E87" s="9" t="s">
        <v>263</v>
      </c>
      <c r="F87" s="9" t="s">
        <v>67</v>
      </c>
      <c r="G87" s="9" t="s">
        <v>20</v>
      </c>
      <c r="H87" s="9" t="s">
        <v>261</v>
      </c>
      <c r="I87" s="5" t="n">
        <v>3000</v>
      </c>
      <c r="J87" s="9" t="s">
        <v>127</v>
      </c>
      <c r="K87" s="9" t="s">
        <v>126</v>
      </c>
      <c r="L87" s="9" t="s">
        <v>128</v>
      </c>
      <c r="M87" s="9"/>
      <c r="N87" s="9"/>
      <c r="O87" s="9"/>
      <c r="P87" s="9"/>
      <c r="Q87" s="9"/>
      <c r="R87" s="9"/>
      <c r="S87" s="9"/>
      <c r="T87" s="9"/>
      <c r="U87" s="9" t="s">
        <v>365</v>
      </c>
      <c r="V87" s="9" t="s">
        <v>264</v>
      </c>
      <c r="W87" s="9" t="s">
        <v>366</v>
      </c>
    </row>
    <row r="88" customFormat="false" ht="15" hidden="false" customHeight="false" outlineLevel="0" collapsed="false">
      <c r="A88" s="9" t="s">
        <v>450</v>
      </c>
      <c r="B88" s="11" t="n">
        <v>46192</v>
      </c>
      <c r="C88" s="9" t="s">
        <v>38</v>
      </c>
      <c r="D88" s="9" t="s">
        <v>262</v>
      </c>
      <c r="E88" s="9" t="s">
        <v>263</v>
      </c>
      <c r="F88" s="9" t="s">
        <v>68</v>
      </c>
      <c r="G88" s="9" t="s">
        <v>20</v>
      </c>
      <c r="H88" s="9" t="s">
        <v>261</v>
      </c>
      <c r="I88" s="5" t="n">
        <v>3000</v>
      </c>
      <c r="J88" s="9" t="s">
        <v>127</v>
      </c>
      <c r="K88" s="9" t="s">
        <v>126</v>
      </c>
      <c r="L88" s="9" t="s">
        <v>128</v>
      </c>
      <c r="M88" s="9"/>
      <c r="N88" s="9"/>
      <c r="O88" s="9"/>
      <c r="P88" s="9"/>
      <c r="Q88" s="9"/>
      <c r="R88" s="9"/>
      <c r="S88" s="9"/>
      <c r="T88" s="9"/>
      <c r="U88" s="9" t="s">
        <v>365</v>
      </c>
      <c r="V88" s="9" t="s">
        <v>264</v>
      </c>
      <c r="W88" s="9" t="s">
        <v>366</v>
      </c>
    </row>
    <row r="89" customFormat="false" ht="15" hidden="false" customHeight="false" outlineLevel="0" collapsed="false">
      <c r="A89" s="9" t="s">
        <v>451</v>
      </c>
      <c r="B89" s="11" t="n">
        <v>46213</v>
      </c>
      <c r="C89" s="9" t="s">
        <v>38</v>
      </c>
      <c r="D89" s="9" t="s">
        <v>262</v>
      </c>
      <c r="E89" s="9" t="s">
        <v>263</v>
      </c>
      <c r="F89" s="9" t="s">
        <v>69</v>
      </c>
      <c r="G89" s="9" t="s">
        <v>20</v>
      </c>
      <c r="H89" s="9" t="s">
        <v>261</v>
      </c>
      <c r="I89" s="5" t="n">
        <v>3000</v>
      </c>
      <c r="J89" s="9" t="s">
        <v>127</v>
      </c>
      <c r="K89" s="9" t="s">
        <v>126</v>
      </c>
      <c r="L89" s="9" t="s">
        <v>128</v>
      </c>
      <c r="M89" s="9"/>
      <c r="N89" s="9"/>
      <c r="O89" s="9"/>
      <c r="P89" s="9"/>
      <c r="Q89" s="9"/>
      <c r="R89" s="9"/>
      <c r="S89" s="9"/>
      <c r="T89" s="9"/>
      <c r="U89" s="9" t="s">
        <v>365</v>
      </c>
      <c r="V89" s="9" t="s">
        <v>264</v>
      </c>
      <c r="W89" s="9" t="s">
        <v>366</v>
      </c>
    </row>
    <row r="90" customFormat="false" ht="15" hidden="false" customHeight="false" outlineLevel="0" collapsed="false">
      <c r="A90" s="9" t="s">
        <v>452</v>
      </c>
      <c r="B90" s="11" t="n">
        <v>46178.4166666667</v>
      </c>
      <c r="C90" s="9" t="s">
        <v>38</v>
      </c>
      <c r="D90" s="9" t="s">
        <v>262</v>
      </c>
      <c r="E90" s="9" t="s">
        <v>270</v>
      </c>
      <c r="F90" s="9" t="s">
        <v>76</v>
      </c>
      <c r="G90" s="9" t="s">
        <v>373</v>
      </c>
      <c r="H90" s="9" t="s">
        <v>261</v>
      </c>
      <c r="I90" s="5" t="n">
        <v>1000</v>
      </c>
      <c r="J90" s="9" t="s">
        <v>127</v>
      </c>
      <c r="K90" s="9" t="s">
        <v>126</v>
      </c>
      <c r="L90" s="9" t="s">
        <v>128</v>
      </c>
      <c r="M90" s="9"/>
      <c r="N90" s="9"/>
      <c r="O90" s="9"/>
      <c r="P90" s="9"/>
      <c r="Q90" s="9"/>
      <c r="R90" s="9"/>
      <c r="S90" s="9"/>
      <c r="T90" s="9"/>
      <c r="U90" s="9" t="s">
        <v>365</v>
      </c>
      <c r="V90" s="9" t="s">
        <v>264</v>
      </c>
      <c r="W90" s="9" t="s">
        <v>366</v>
      </c>
    </row>
    <row r="91" customFormat="false" ht="15" hidden="false" customHeight="false" outlineLevel="0" collapsed="false">
      <c r="A91" s="9" t="s">
        <v>453</v>
      </c>
      <c r="B91" s="11" t="n">
        <v>46178.4166666667</v>
      </c>
      <c r="C91" s="9" t="s">
        <v>38</v>
      </c>
      <c r="D91" s="9" t="s">
        <v>262</v>
      </c>
      <c r="E91" s="9" t="s">
        <v>270</v>
      </c>
      <c r="F91" s="9" t="s">
        <v>77</v>
      </c>
      <c r="G91" s="9" t="s">
        <v>373</v>
      </c>
      <c r="H91" s="9" t="s">
        <v>261</v>
      </c>
      <c r="I91" s="5" t="n">
        <v>2000</v>
      </c>
      <c r="J91" s="9" t="s">
        <v>127</v>
      </c>
      <c r="K91" s="9" t="s">
        <v>126</v>
      </c>
      <c r="L91" s="9" t="s">
        <v>128</v>
      </c>
      <c r="M91" s="9"/>
      <c r="N91" s="9"/>
      <c r="O91" s="9"/>
      <c r="P91" s="9"/>
      <c r="Q91" s="9"/>
      <c r="R91" s="9"/>
      <c r="S91" s="9"/>
      <c r="T91" s="9"/>
      <c r="U91" s="9" t="s">
        <v>365</v>
      </c>
      <c r="V91" s="9" t="s">
        <v>264</v>
      </c>
      <c r="W91" s="9" t="s">
        <v>366</v>
      </c>
    </row>
    <row r="92" customFormat="false" ht="15" hidden="false" customHeight="false" outlineLevel="0" collapsed="false">
      <c r="A92" s="9" t="s">
        <v>454</v>
      </c>
      <c r="B92" s="11" t="n">
        <v>46192.4166666667</v>
      </c>
      <c r="C92" s="9" t="s">
        <v>38</v>
      </c>
      <c r="D92" s="9" t="s">
        <v>262</v>
      </c>
      <c r="E92" s="9" t="s">
        <v>270</v>
      </c>
      <c r="F92" s="9" t="s">
        <v>78</v>
      </c>
      <c r="G92" s="9" t="s">
        <v>20</v>
      </c>
      <c r="H92" s="9" t="s">
        <v>261</v>
      </c>
      <c r="I92" s="5" t="n">
        <v>2000</v>
      </c>
      <c r="J92" s="9" t="s">
        <v>127</v>
      </c>
      <c r="K92" s="9" t="s">
        <v>126</v>
      </c>
      <c r="L92" s="9" t="s">
        <v>128</v>
      </c>
      <c r="M92" s="9"/>
      <c r="N92" s="9"/>
      <c r="O92" s="9"/>
      <c r="P92" s="9"/>
      <c r="Q92" s="9"/>
      <c r="R92" s="9"/>
      <c r="S92" s="9"/>
      <c r="T92" s="9"/>
      <c r="U92" s="9" t="s">
        <v>365</v>
      </c>
      <c r="V92" s="9" t="s">
        <v>264</v>
      </c>
      <c r="W92" s="9" t="s">
        <v>366</v>
      </c>
    </row>
    <row r="93" customFormat="false" ht="15" hidden="false" customHeight="false" outlineLevel="0" collapsed="false">
      <c r="A93" s="9" t="s">
        <v>455</v>
      </c>
      <c r="B93" s="11" t="n">
        <v>46091</v>
      </c>
      <c r="C93" s="9" t="s">
        <v>38</v>
      </c>
      <c r="D93" s="9" t="s">
        <v>262</v>
      </c>
      <c r="E93" s="9" t="s">
        <v>263</v>
      </c>
      <c r="F93" s="9" t="s">
        <v>65</v>
      </c>
      <c r="G93" s="9" t="s">
        <v>20</v>
      </c>
      <c r="H93" s="9" t="s">
        <v>261</v>
      </c>
      <c r="I93" s="5" t="n">
        <v>3000</v>
      </c>
      <c r="J93" s="9" t="s">
        <v>130</v>
      </c>
      <c r="K93" s="9" t="s">
        <v>129</v>
      </c>
      <c r="L93" s="9" t="s">
        <v>131</v>
      </c>
      <c r="M93" s="9"/>
      <c r="N93" s="9"/>
      <c r="O93" s="9"/>
      <c r="P93" s="9"/>
      <c r="Q93" s="9"/>
      <c r="R93" s="9"/>
      <c r="S93" s="9"/>
      <c r="T93" s="9"/>
      <c r="U93" s="9" t="s">
        <v>365</v>
      </c>
      <c r="V93" s="9" t="s">
        <v>264</v>
      </c>
      <c r="W93" s="9" t="s">
        <v>366</v>
      </c>
    </row>
    <row r="94" customFormat="false" ht="15" hidden="false" customHeight="false" outlineLevel="0" collapsed="false">
      <c r="A94" s="9" t="s">
        <v>456</v>
      </c>
      <c r="B94" s="11" t="n">
        <v>46178.4166666667</v>
      </c>
      <c r="C94" s="9" t="s">
        <v>38</v>
      </c>
      <c r="D94" s="9" t="s">
        <v>262</v>
      </c>
      <c r="E94" s="9" t="s">
        <v>270</v>
      </c>
      <c r="F94" s="9" t="s">
        <v>76</v>
      </c>
      <c r="G94" s="9" t="s">
        <v>20</v>
      </c>
      <c r="H94" s="9" t="s">
        <v>261</v>
      </c>
      <c r="I94" s="5" t="n">
        <v>1000</v>
      </c>
      <c r="J94" s="9" t="s">
        <v>130</v>
      </c>
      <c r="K94" s="9" t="s">
        <v>129</v>
      </c>
      <c r="L94" s="9" t="s">
        <v>131</v>
      </c>
      <c r="M94" s="9"/>
      <c r="N94" s="9"/>
      <c r="O94" s="9"/>
      <c r="P94" s="9"/>
      <c r="Q94" s="9"/>
      <c r="R94" s="9"/>
      <c r="S94" s="9"/>
      <c r="T94" s="9"/>
      <c r="U94" s="9" t="s">
        <v>365</v>
      </c>
      <c r="V94" s="9" t="s">
        <v>264</v>
      </c>
      <c r="W94" s="9" t="s">
        <v>366</v>
      </c>
    </row>
    <row r="95" customFormat="false" ht="15" hidden="false" customHeight="false" outlineLevel="0" collapsed="false">
      <c r="A95" s="9" t="s">
        <v>457</v>
      </c>
      <c r="B95" s="11" t="n">
        <v>46178.4166666667</v>
      </c>
      <c r="C95" s="9" t="s">
        <v>38</v>
      </c>
      <c r="D95" s="9" t="s">
        <v>262</v>
      </c>
      <c r="E95" s="9" t="s">
        <v>270</v>
      </c>
      <c r="F95" s="9" t="s">
        <v>77</v>
      </c>
      <c r="G95" s="9" t="s">
        <v>20</v>
      </c>
      <c r="H95" s="9" t="s">
        <v>261</v>
      </c>
      <c r="I95" s="5" t="n">
        <v>2000</v>
      </c>
      <c r="J95" s="9" t="s">
        <v>130</v>
      </c>
      <c r="K95" s="9" t="s">
        <v>129</v>
      </c>
      <c r="L95" s="9" t="s">
        <v>131</v>
      </c>
      <c r="M95" s="9"/>
      <c r="N95" s="9"/>
      <c r="O95" s="9"/>
      <c r="P95" s="9"/>
      <c r="Q95" s="9"/>
      <c r="R95" s="9"/>
      <c r="S95" s="9"/>
      <c r="T95" s="9"/>
      <c r="U95" s="9" t="s">
        <v>365</v>
      </c>
      <c r="V95" s="9" t="s">
        <v>264</v>
      </c>
      <c r="W95" s="9" t="s">
        <v>366</v>
      </c>
    </row>
    <row r="96" customFormat="false" ht="15" hidden="false" customHeight="false" outlineLevel="0" collapsed="false">
      <c r="A96" s="9" t="s">
        <v>458</v>
      </c>
      <c r="B96" s="11" t="n">
        <v>46192.4166666667</v>
      </c>
      <c r="C96" s="9" t="s">
        <v>38</v>
      </c>
      <c r="D96" s="9" t="s">
        <v>262</v>
      </c>
      <c r="E96" s="9" t="s">
        <v>270</v>
      </c>
      <c r="F96" s="9" t="s">
        <v>78</v>
      </c>
      <c r="G96" s="9" t="s">
        <v>20</v>
      </c>
      <c r="H96" s="9" t="s">
        <v>261</v>
      </c>
      <c r="I96" s="5" t="n">
        <v>2000</v>
      </c>
      <c r="J96" s="9" t="s">
        <v>130</v>
      </c>
      <c r="K96" s="9" t="s">
        <v>129</v>
      </c>
      <c r="L96" s="9" t="s">
        <v>131</v>
      </c>
      <c r="M96" s="9"/>
      <c r="N96" s="9"/>
      <c r="O96" s="9"/>
      <c r="P96" s="9"/>
      <c r="Q96" s="9"/>
      <c r="R96" s="9"/>
      <c r="S96" s="9"/>
      <c r="T96" s="9"/>
      <c r="U96" s="9" t="s">
        <v>365</v>
      </c>
      <c r="V96" s="9" t="s">
        <v>264</v>
      </c>
      <c r="W96" s="9" t="s">
        <v>366</v>
      </c>
    </row>
    <row r="97" customFormat="false" ht="15" hidden="false" customHeight="false" outlineLevel="0" collapsed="false">
      <c r="A97" s="9" t="s">
        <v>459</v>
      </c>
      <c r="B97" s="11" t="n">
        <v>46178.4166666667</v>
      </c>
      <c r="C97" s="9" t="s">
        <v>38</v>
      </c>
      <c r="D97" s="9" t="s">
        <v>262</v>
      </c>
      <c r="E97" s="9" t="s">
        <v>270</v>
      </c>
      <c r="F97" s="9" t="s">
        <v>81</v>
      </c>
      <c r="G97" s="9" t="s">
        <v>20</v>
      </c>
      <c r="H97" s="9" t="s">
        <v>261</v>
      </c>
      <c r="I97" s="5" t="n">
        <v>1000</v>
      </c>
      <c r="J97" s="9" t="s">
        <v>130</v>
      </c>
      <c r="K97" s="9" t="s">
        <v>129</v>
      </c>
      <c r="L97" s="9" t="s">
        <v>131</v>
      </c>
      <c r="M97" s="9"/>
      <c r="N97" s="9"/>
      <c r="O97" s="9"/>
      <c r="P97" s="9"/>
      <c r="Q97" s="9"/>
      <c r="R97" s="9"/>
      <c r="S97" s="9"/>
      <c r="T97" s="9"/>
      <c r="U97" s="9" t="s">
        <v>365</v>
      </c>
      <c r="V97" s="9" t="s">
        <v>264</v>
      </c>
      <c r="W97" s="9" t="s">
        <v>366</v>
      </c>
    </row>
    <row r="98" customFormat="false" ht="15" hidden="false" customHeight="false" outlineLevel="0" collapsed="false">
      <c r="A98" s="9" t="s">
        <v>460</v>
      </c>
      <c r="B98" s="11" t="n">
        <v>46091</v>
      </c>
      <c r="C98" s="9" t="s">
        <v>38</v>
      </c>
      <c r="D98" s="9" t="s">
        <v>262</v>
      </c>
      <c r="E98" s="9" t="s">
        <v>263</v>
      </c>
      <c r="F98" s="9" t="s">
        <v>65</v>
      </c>
      <c r="G98" s="9" t="s">
        <v>20</v>
      </c>
      <c r="H98" s="9" t="s">
        <v>261</v>
      </c>
      <c r="I98" s="5" t="n">
        <v>3000</v>
      </c>
      <c r="J98" s="9" t="s">
        <v>133</v>
      </c>
      <c r="K98" s="9" t="s">
        <v>132</v>
      </c>
      <c r="L98" s="9" t="s">
        <v>134</v>
      </c>
      <c r="M98" s="9"/>
      <c r="N98" s="9"/>
      <c r="O98" s="9"/>
      <c r="P98" s="9"/>
      <c r="Q98" s="9"/>
      <c r="R98" s="9"/>
      <c r="S98" s="9"/>
      <c r="T98" s="9"/>
      <c r="U98" s="9" t="s">
        <v>365</v>
      </c>
      <c r="V98" s="9" t="s">
        <v>264</v>
      </c>
      <c r="W98" s="9" t="s">
        <v>366</v>
      </c>
    </row>
    <row r="99" customFormat="false" ht="15" hidden="false" customHeight="false" outlineLevel="0" collapsed="false">
      <c r="A99" s="9" t="s">
        <v>461</v>
      </c>
      <c r="B99" s="11" t="n">
        <v>46178.4166666667</v>
      </c>
      <c r="C99" s="9" t="s">
        <v>38</v>
      </c>
      <c r="D99" s="9" t="s">
        <v>262</v>
      </c>
      <c r="E99" s="9" t="s">
        <v>270</v>
      </c>
      <c r="F99" s="9" t="s">
        <v>76</v>
      </c>
      <c r="G99" s="9" t="s">
        <v>20</v>
      </c>
      <c r="H99" s="9" t="s">
        <v>261</v>
      </c>
      <c r="I99" s="5" t="n">
        <v>1000</v>
      </c>
      <c r="J99" s="9" t="s">
        <v>133</v>
      </c>
      <c r="K99" s="9" t="s">
        <v>132</v>
      </c>
      <c r="L99" s="9" t="s">
        <v>134</v>
      </c>
      <c r="M99" s="9"/>
      <c r="N99" s="9"/>
      <c r="O99" s="9"/>
      <c r="P99" s="9"/>
      <c r="Q99" s="9"/>
      <c r="R99" s="9"/>
      <c r="S99" s="9"/>
      <c r="T99" s="9"/>
      <c r="U99" s="9" t="s">
        <v>365</v>
      </c>
      <c r="V99" s="9" t="s">
        <v>264</v>
      </c>
      <c r="W99" s="9" t="s">
        <v>366</v>
      </c>
    </row>
    <row r="100" customFormat="false" ht="15" hidden="false" customHeight="false" outlineLevel="0" collapsed="false">
      <c r="A100" s="9" t="s">
        <v>462</v>
      </c>
      <c r="B100" s="11" t="n">
        <v>46178.4166666667</v>
      </c>
      <c r="C100" s="9" t="s">
        <v>38</v>
      </c>
      <c r="D100" s="9" t="s">
        <v>262</v>
      </c>
      <c r="E100" s="9" t="s">
        <v>270</v>
      </c>
      <c r="F100" s="9" t="s">
        <v>77</v>
      </c>
      <c r="G100" s="9" t="s">
        <v>20</v>
      </c>
      <c r="H100" s="9" t="s">
        <v>261</v>
      </c>
      <c r="I100" s="5" t="n">
        <v>2000</v>
      </c>
      <c r="J100" s="9" t="s">
        <v>133</v>
      </c>
      <c r="K100" s="9" t="s">
        <v>132</v>
      </c>
      <c r="L100" s="9" t="s">
        <v>134</v>
      </c>
      <c r="M100" s="9"/>
      <c r="N100" s="9"/>
      <c r="O100" s="9"/>
      <c r="P100" s="9"/>
      <c r="Q100" s="9"/>
      <c r="R100" s="9"/>
      <c r="S100" s="9"/>
      <c r="T100" s="9"/>
      <c r="U100" s="9" t="s">
        <v>365</v>
      </c>
      <c r="V100" s="9" t="s">
        <v>264</v>
      </c>
      <c r="W100" s="9" t="s">
        <v>366</v>
      </c>
    </row>
    <row r="101" customFormat="false" ht="15" hidden="false" customHeight="false" outlineLevel="0" collapsed="false">
      <c r="A101" s="9" t="s">
        <v>463</v>
      </c>
      <c r="B101" s="11" t="n">
        <v>46192.4166666667</v>
      </c>
      <c r="C101" s="9" t="s">
        <v>38</v>
      </c>
      <c r="D101" s="9" t="s">
        <v>262</v>
      </c>
      <c r="E101" s="9" t="s">
        <v>270</v>
      </c>
      <c r="F101" s="9" t="s">
        <v>78</v>
      </c>
      <c r="G101" s="9" t="s">
        <v>20</v>
      </c>
      <c r="H101" s="9" t="s">
        <v>261</v>
      </c>
      <c r="I101" s="5" t="n">
        <v>2000</v>
      </c>
      <c r="J101" s="9" t="s">
        <v>133</v>
      </c>
      <c r="K101" s="9" t="s">
        <v>132</v>
      </c>
      <c r="L101" s="9" t="s">
        <v>134</v>
      </c>
      <c r="M101" s="9"/>
      <c r="N101" s="9"/>
      <c r="O101" s="9"/>
      <c r="P101" s="9"/>
      <c r="Q101" s="9"/>
      <c r="R101" s="9"/>
      <c r="S101" s="9"/>
      <c r="T101" s="9"/>
      <c r="U101" s="9" t="s">
        <v>365</v>
      </c>
      <c r="V101" s="9" t="s">
        <v>264</v>
      </c>
      <c r="W101" s="9" t="s">
        <v>366</v>
      </c>
    </row>
    <row r="102" customFormat="false" ht="15" hidden="false" customHeight="false" outlineLevel="0" collapsed="false">
      <c r="A102" s="9" t="s">
        <v>464</v>
      </c>
      <c r="B102" s="11" t="n">
        <v>46091</v>
      </c>
      <c r="C102" s="9" t="s">
        <v>38</v>
      </c>
      <c r="D102" s="9" t="s">
        <v>262</v>
      </c>
      <c r="E102" s="9" t="s">
        <v>263</v>
      </c>
      <c r="F102" s="9" t="s">
        <v>65</v>
      </c>
      <c r="G102" s="9" t="s">
        <v>20</v>
      </c>
      <c r="H102" s="9" t="s">
        <v>261</v>
      </c>
      <c r="I102" s="5" t="n">
        <v>3000</v>
      </c>
      <c r="J102" s="9" t="s">
        <v>136</v>
      </c>
      <c r="K102" s="9" t="s">
        <v>135</v>
      </c>
      <c r="L102" s="9" t="s">
        <v>137</v>
      </c>
      <c r="M102" s="9"/>
      <c r="N102" s="9"/>
      <c r="O102" s="9"/>
      <c r="P102" s="9"/>
      <c r="Q102" s="9"/>
      <c r="R102" s="9"/>
      <c r="S102" s="9"/>
      <c r="T102" s="9"/>
      <c r="U102" s="9" t="s">
        <v>365</v>
      </c>
      <c r="V102" s="9" t="s">
        <v>264</v>
      </c>
      <c r="W102" s="9" t="s">
        <v>366</v>
      </c>
    </row>
    <row r="103" customFormat="false" ht="15" hidden="false" customHeight="false" outlineLevel="0" collapsed="false">
      <c r="A103" s="9" t="s">
        <v>465</v>
      </c>
      <c r="B103" s="11" t="n">
        <v>46122</v>
      </c>
      <c r="C103" s="9" t="s">
        <v>38</v>
      </c>
      <c r="D103" s="9" t="s">
        <v>262</v>
      </c>
      <c r="E103" s="9" t="s">
        <v>263</v>
      </c>
      <c r="F103" s="9" t="s">
        <v>66</v>
      </c>
      <c r="G103" s="9" t="s">
        <v>20</v>
      </c>
      <c r="H103" s="9" t="s">
        <v>261</v>
      </c>
      <c r="I103" s="5" t="n">
        <v>3000</v>
      </c>
      <c r="J103" s="9" t="s">
        <v>136</v>
      </c>
      <c r="K103" s="9" t="s">
        <v>135</v>
      </c>
      <c r="L103" s="9" t="s">
        <v>137</v>
      </c>
      <c r="M103" s="9"/>
      <c r="N103" s="9"/>
      <c r="O103" s="9"/>
      <c r="P103" s="9"/>
      <c r="Q103" s="9"/>
      <c r="R103" s="9"/>
      <c r="S103" s="9"/>
      <c r="T103" s="9"/>
      <c r="U103" s="9" t="s">
        <v>365</v>
      </c>
      <c r="V103" s="9" t="s">
        <v>264</v>
      </c>
      <c r="W103" s="9" t="s">
        <v>366</v>
      </c>
    </row>
    <row r="104" customFormat="false" ht="15" hidden="false" customHeight="false" outlineLevel="0" collapsed="false">
      <c r="A104" s="9" t="s">
        <v>466</v>
      </c>
      <c r="B104" s="11" t="n">
        <v>46152</v>
      </c>
      <c r="C104" s="9" t="s">
        <v>38</v>
      </c>
      <c r="D104" s="9" t="s">
        <v>262</v>
      </c>
      <c r="E104" s="9" t="s">
        <v>263</v>
      </c>
      <c r="F104" s="9" t="s">
        <v>67</v>
      </c>
      <c r="G104" s="9" t="s">
        <v>20</v>
      </c>
      <c r="H104" s="9" t="s">
        <v>261</v>
      </c>
      <c r="I104" s="5" t="n">
        <v>3000</v>
      </c>
      <c r="J104" s="9" t="s">
        <v>136</v>
      </c>
      <c r="K104" s="9" t="s">
        <v>135</v>
      </c>
      <c r="L104" s="9" t="s">
        <v>137</v>
      </c>
      <c r="M104" s="9"/>
      <c r="N104" s="9"/>
      <c r="O104" s="9"/>
      <c r="P104" s="9"/>
      <c r="Q104" s="9"/>
      <c r="R104" s="9"/>
      <c r="S104" s="9"/>
      <c r="T104" s="9"/>
      <c r="U104" s="9" t="s">
        <v>365</v>
      </c>
      <c r="V104" s="9" t="s">
        <v>264</v>
      </c>
      <c r="W104" s="9" t="s">
        <v>366</v>
      </c>
    </row>
    <row r="105" customFormat="false" ht="15" hidden="false" customHeight="false" outlineLevel="0" collapsed="false">
      <c r="A105" s="9" t="s">
        <v>467</v>
      </c>
      <c r="B105" s="11" t="n">
        <v>46178.4166666667</v>
      </c>
      <c r="C105" s="9" t="s">
        <v>38</v>
      </c>
      <c r="D105" s="9" t="s">
        <v>262</v>
      </c>
      <c r="E105" s="9" t="s">
        <v>270</v>
      </c>
      <c r="F105" s="9" t="s">
        <v>76</v>
      </c>
      <c r="G105" s="9" t="s">
        <v>373</v>
      </c>
      <c r="H105" s="9" t="s">
        <v>261</v>
      </c>
      <c r="I105" s="5" t="n">
        <v>1000</v>
      </c>
      <c r="J105" s="9" t="s">
        <v>136</v>
      </c>
      <c r="K105" s="9" t="s">
        <v>135</v>
      </c>
      <c r="L105" s="9" t="s">
        <v>137</v>
      </c>
      <c r="M105" s="9"/>
      <c r="N105" s="9"/>
      <c r="O105" s="9"/>
      <c r="P105" s="9"/>
      <c r="Q105" s="9"/>
      <c r="R105" s="9"/>
      <c r="S105" s="9"/>
      <c r="T105" s="9"/>
      <c r="U105" s="9" t="s">
        <v>365</v>
      </c>
      <c r="V105" s="9" t="s">
        <v>264</v>
      </c>
      <c r="W105" s="9" t="s">
        <v>366</v>
      </c>
    </row>
    <row r="106" customFormat="false" ht="15" hidden="false" customHeight="false" outlineLevel="0" collapsed="false">
      <c r="A106" s="9" t="s">
        <v>468</v>
      </c>
      <c r="B106" s="11" t="n">
        <v>46178.4166666667</v>
      </c>
      <c r="C106" s="9" t="s">
        <v>38</v>
      </c>
      <c r="D106" s="9" t="s">
        <v>262</v>
      </c>
      <c r="E106" s="9" t="s">
        <v>270</v>
      </c>
      <c r="F106" s="9" t="s">
        <v>77</v>
      </c>
      <c r="G106" s="9" t="s">
        <v>373</v>
      </c>
      <c r="H106" s="9" t="s">
        <v>261</v>
      </c>
      <c r="I106" s="5" t="n">
        <v>2000</v>
      </c>
      <c r="J106" s="9" t="s">
        <v>136</v>
      </c>
      <c r="K106" s="9" t="s">
        <v>135</v>
      </c>
      <c r="L106" s="9" t="s">
        <v>137</v>
      </c>
      <c r="M106" s="9"/>
      <c r="N106" s="9"/>
      <c r="O106" s="9"/>
      <c r="P106" s="9"/>
      <c r="Q106" s="9"/>
      <c r="R106" s="9"/>
      <c r="S106" s="9"/>
      <c r="T106" s="9"/>
      <c r="U106" s="9" t="s">
        <v>365</v>
      </c>
      <c r="V106" s="9" t="s">
        <v>264</v>
      </c>
      <c r="W106" s="9" t="s">
        <v>366</v>
      </c>
    </row>
    <row r="107" customFormat="false" ht="15" hidden="false" customHeight="false" outlineLevel="0" collapsed="false">
      <c r="A107" s="9" t="s">
        <v>469</v>
      </c>
      <c r="B107" s="11" t="n">
        <v>46192.4166666667</v>
      </c>
      <c r="C107" s="9" t="s">
        <v>38</v>
      </c>
      <c r="D107" s="9" t="s">
        <v>262</v>
      </c>
      <c r="E107" s="9" t="s">
        <v>270</v>
      </c>
      <c r="F107" s="9" t="s">
        <v>78</v>
      </c>
      <c r="G107" s="9" t="s">
        <v>20</v>
      </c>
      <c r="H107" s="9" t="s">
        <v>261</v>
      </c>
      <c r="I107" s="5" t="n">
        <v>2000</v>
      </c>
      <c r="J107" s="9" t="s">
        <v>136</v>
      </c>
      <c r="K107" s="9" t="s">
        <v>135</v>
      </c>
      <c r="L107" s="9" t="s">
        <v>137</v>
      </c>
      <c r="M107" s="9"/>
      <c r="N107" s="9"/>
      <c r="O107" s="9"/>
      <c r="P107" s="9"/>
      <c r="Q107" s="9"/>
      <c r="R107" s="9"/>
      <c r="S107" s="9"/>
      <c r="T107" s="9"/>
      <c r="U107" s="9" t="s">
        <v>365</v>
      </c>
      <c r="V107" s="9" t="s">
        <v>264</v>
      </c>
      <c r="W107" s="9" t="s">
        <v>366</v>
      </c>
    </row>
    <row r="108" customFormat="false" ht="15" hidden="false" customHeight="false" outlineLevel="0" collapsed="false">
      <c r="A108" s="9" t="s">
        <v>470</v>
      </c>
      <c r="B108" s="11" t="n">
        <v>46091</v>
      </c>
      <c r="C108" s="9" t="s">
        <v>38</v>
      </c>
      <c r="D108" s="9" t="s">
        <v>262</v>
      </c>
      <c r="E108" s="9" t="s">
        <v>263</v>
      </c>
      <c r="F108" s="9" t="s">
        <v>65</v>
      </c>
      <c r="G108" s="9" t="s">
        <v>20</v>
      </c>
      <c r="H108" s="9" t="s">
        <v>261</v>
      </c>
      <c r="I108" s="5" t="n">
        <v>3000</v>
      </c>
      <c r="J108" s="9" t="s">
        <v>139</v>
      </c>
      <c r="K108" s="9" t="s">
        <v>138</v>
      </c>
      <c r="L108" s="9" t="s">
        <v>140</v>
      </c>
      <c r="M108" s="9"/>
      <c r="N108" s="9"/>
      <c r="O108" s="9"/>
      <c r="P108" s="9"/>
      <c r="Q108" s="9"/>
      <c r="R108" s="9"/>
      <c r="S108" s="9"/>
      <c r="T108" s="9"/>
      <c r="U108" s="9" t="s">
        <v>365</v>
      </c>
      <c r="V108" s="9" t="s">
        <v>264</v>
      </c>
      <c r="W108" s="9" t="s">
        <v>366</v>
      </c>
    </row>
    <row r="109" customFormat="false" ht="15" hidden="false" customHeight="false" outlineLevel="0" collapsed="false">
      <c r="A109" s="9" t="s">
        <v>471</v>
      </c>
      <c r="B109" s="11" t="n">
        <v>46122</v>
      </c>
      <c r="C109" s="9" t="s">
        <v>38</v>
      </c>
      <c r="D109" s="9" t="s">
        <v>262</v>
      </c>
      <c r="E109" s="9" t="s">
        <v>263</v>
      </c>
      <c r="F109" s="9" t="s">
        <v>66</v>
      </c>
      <c r="G109" s="9" t="s">
        <v>20</v>
      </c>
      <c r="H109" s="9" t="s">
        <v>261</v>
      </c>
      <c r="I109" s="5" t="n">
        <v>3000</v>
      </c>
      <c r="J109" s="9" t="s">
        <v>139</v>
      </c>
      <c r="K109" s="9" t="s">
        <v>138</v>
      </c>
      <c r="L109" s="9" t="s">
        <v>140</v>
      </c>
      <c r="M109" s="9"/>
      <c r="N109" s="9"/>
      <c r="O109" s="9"/>
      <c r="P109" s="9"/>
      <c r="Q109" s="9"/>
      <c r="R109" s="9"/>
      <c r="S109" s="9"/>
      <c r="T109" s="9"/>
      <c r="U109" s="9" t="s">
        <v>365</v>
      </c>
      <c r="V109" s="9" t="s">
        <v>264</v>
      </c>
      <c r="W109" s="9" t="s">
        <v>366</v>
      </c>
    </row>
    <row r="110" customFormat="false" ht="15" hidden="false" customHeight="false" outlineLevel="0" collapsed="false">
      <c r="A110" s="9" t="s">
        <v>472</v>
      </c>
      <c r="B110" s="11" t="n">
        <v>46152</v>
      </c>
      <c r="C110" s="9" t="s">
        <v>38</v>
      </c>
      <c r="D110" s="9" t="s">
        <v>262</v>
      </c>
      <c r="E110" s="9" t="s">
        <v>263</v>
      </c>
      <c r="F110" s="9" t="s">
        <v>67</v>
      </c>
      <c r="G110" s="9" t="s">
        <v>20</v>
      </c>
      <c r="H110" s="9" t="s">
        <v>261</v>
      </c>
      <c r="I110" s="5" t="n">
        <v>3000</v>
      </c>
      <c r="J110" s="9" t="s">
        <v>139</v>
      </c>
      <c r="K110" s="9" t="s">
        <v>138</v>
      </c>
      <c r="L110" s="9" t="s">
        <v>140</v>
      </c>
      <c r="M110" s="9"/>
      <c r="N110" s="9"/>
      <c r="O110" s="9"/>
      <c r="P110" s="9"/>
      <c r="Q110" s="9"/>
      <c r="R110" s="9"/>
      <c r="S110" s="9"/>
      <c r="T110" s="9"/>
      <c r="U110" s="9" t="s">
        <v>365</v>
      </c>
      <c r="V110" s="9" t="s">
        <v>264</v>
      </c>
      <c r="W110" s="9" t="s">
        <v>366</v>
      </c>
    </row>
    <row r="111" customFormat="false" ht="15" hidden="false" customHeight="false" outlineLevel="0" collapsed="false">
      <c r="A111" s="9" t="s">
        <v>473</v>
      </c>
      <c r="B111" s="11" t="n">
        <v>46192</v>
      </c>
      <c r="C111" s="9" t="s">
        <v>38</v>
      </c>
      <c r="D111" s="9" t="s">
        <v>262</v>
      </c>
      <c r="E111" s="9" t="s">
        <v>263</v>
      </c>
      <c r="F111" s="9" t="s">
        <v>68</v>
      </c>
      <c r="G111" s="9" t="s">
        <v>20</v>
      </c>
      <c r="H111" s="9" t="s">
        <v>261</v>
      </c>
      <c r="I111" s="5" t="n">
        <v>3000</v>
      </c>
      <c r="J111" s="9" t="s">
        <v>139</v>
      </c>
      <c r="K111" s="9" t="s">
        <v>138</v>
      </c>
      <c r="L111" s="9" t="s">
        <v>140</v>
      </c>
      <c r="M111" s="9"/>
      <c r="N111" s="9"/>
      <c r="O111" s="9"/>
      <c r="P111" s="9"/>
      <c r="Q111" s="9"/>
      <c r="R111" s="9"/>
      <c r="S111" s="9"/>
      <c r="T111" s="9"/>
      <c r="U111" s="9" t="s">
        <v>365</v>
      </c>
      <c r="V111" s="9" t="s">
        <v>264</v>
      </c>
      <c r="W111" s="9" t="s">
        <v>366</v>
      </c>
    </row>
    <row r="112" customFormat="false" ht="15" hidden="false" customHeight="false" outlineLevel="0" collapsed="false">
      <c r="A112" s="9" t="s">
        <v>474</v>
      </c>
      <c r="B112" s="11" t="n">
        <v>46178.4166666667</v>
      </c>
      <c r="C112" s="9" t="s">
        <v>38</v>
      </c>
      <c r="D112" s="9" t="s">
        <v>262</v>
      </c>
      <c r="E112" s="9" t="s">
        <v>270</v>
      </c>
      <c r="F112" s="9" t="s">
        <v>76</v>
      </c>
      <c r="G112" s="9" t="s">
        <v>20</v>
      </c>
      <c r="H112" s="9" t="s">
        <v>261</v>
      </c>
      <c r="I112" s="5" t="n">
        <v>1000</v>
      </c>
      <c r="J112" s="9" t="s">
        <v>139</v>
      </c>
      <c r="K112" s="9" t="s">
        <v>138</v>
      </c>
      <c r="L112" s="9" t="s">
        <v>140</v>
      </c>
      <c r="M112" s="9"/>
      <c r="N112" s="9"/>
      <c r="O112" s="9"/>
      <c r="P112" s="9"/>
      <c r="Q112" s="9"/>
      <c r="R112" s="9"/>
      <c r="S112" s="9"/>
      <c r="T112" s="9"/>
      <c r="U112" s="9" t="s">
        <v>365</v>
      </c>
      <c r="V112" s="9" t="s">
        <v>264</v>
      </c>
      <c r="W112" s="9" t="s">
        <v>366</v>
      </c>
    </row>
    <row r="113" customFormat="false" ht="15" hidden="false" customHeight="false" outlineLevel="0" collapsed="false">
      <c r="A113" s="9" t="s">
        <v>475</v>
      </c>
      <c r="B113" s="11" t="n">
        <v>46178.4166666667</v>
      </c>
      <c r="C113" s="9" t="s">
        <v>38</v>
      </c>
      <c r="D113" s="9" t="s">
        <v>262</v>
      </c>
      <c r="E113" s="9" t="s">
        <v>270</v>
      </c>
      <c r="F113" s="9" t="s">
        <v>77</v>
      </c>
      <c r="G113" s="9" t="s">
        <v>373</v>
      </c>
      <c r="H113" s="9" t="s">
        <v>261</v>
      </c>
      <c r="I113" s="5" t="n">
        <v>2000</v>
      </c>
      <c r="J113" s="9" t="s">
        <v>139</v>
      </c>
      <c r="K113" s="9" t="s">
        <v>138</v>
      </c>
      <c r="L113" s="9" t="s">
        <v>140</v>
      </c>
      <c r="M113" s="9"/>
      <c r="N113" s="9"/>
      <c r="O113" s="9"/>
      <c r="P113" s="9"/>
      <c r="Q113" s="9"/>
      <c r="R113" s="9"/>
      <c r="S113" s="9"/>
      <c r="T113" s="9"/>
      <c r="U113" s="9" t="s">
        <v>365</v>
      </c>
      <c r="V113" s="9" t="s">
        <v>264</v>
      </c>
      <c r="W113" s="9" t="s">
        <v>366</v>
      </c>
    </row>
    <row r="114" customFormat="false" ht="15" hidden="false" customHeight="false" outlineLevel="0" collapsed="false">
      <c r="A114" s="9" t="s">
        <v>476</v>
      </c>
      <c r="B114" s="11" t="n">
        <v>46192.4166666667</v>
      </c>
      <c r="C114" s="9" t="s">
        <v>38</v>
      </c>
      <c r="D114" s="9" t="s">
        <v>262</v>
      </c>
      <c r="E114" s="9" t="s">
        <v>270</v>
      </c>
      <c r="F114" s="9" t="s">
        <v>78</v>
      </c>
      <c r="G114" s="9" t="s">
        <v>20</v>
      </c>
      <c r="H114" s="9" t="s">
        <v>261</v>
      </c>
      <c r="I114" s="5" t="n">
        <v>2000</v>
      </c>
      <c r="J114" s="9" t="s">
        <v>139</v>
      </c>
      <c r="K114" s="9" t="s">
        <v>138</v>
      </c>
      <c r="L114" s="9" t="s">
        <v>140</v>
      </c>
      <c r="M114" s="9"/>
      <c r="N114" s="9"/>
      <c r="O114" s="9"/>
      <c r="P114" s="9"/>
      <c r="Q114" s="9"/>
      <c r="R114" s="9"/>
      <c r="S114" s="9"/>
      <c r="T114" s="9"/>
      <c r="U114" s="9" t="s">
        <v>365</v>
      </c>
      <c r="V114" s="9" t="s">
        <v>264</v>
      </c>
      <c r="W114" s="9" t="s">
        <v>366</v>
      </c>
    </row>
    <row r="115" customFormat="false" ht="15" hidden="false" customHeight="false" outlineLevel="0" collapsed="false">
      <c r="A115" s="9" t="s">
        <v>477</v>
      </c>
      <c r="B115" s="11" t="n">
        <v>46091</v>
      </c>
      <c r="C115" s="9" t="s">
        <v>38</v>
      </c>
      <c r="D115" s="9" t="s">
        <v>262</v>
      </c>
      <c r="E115" s="9" t="s">
        <v>263</v>
      </c>
      <c r="F115" s="9" t="s">
        <v>65</v>
      </c>
      <c r="G115" s="9" t="s">
        <v>20</v>
      </c>
      <c r="H115" s="9" t="s">
        <v>261</v>
      </c>
      <c r="I115" s="5" t="n">
        <v>3000</v>
      </c>
      <c r="J115" s="9" t="s">
        <v>144</v>
      </c>
      <c r="K115" s="9" t="s">
        <v>143</v>
      </c>
      <c r="L115" s="9" t="s">
        <v>145</v>
      </c>
      <c r="M115" s="9"/>
      <c r="N115" s="9"/>
      <c r="O115" s="9"/>
      <c r="P115" s="9"/>
      <c r="Q115" s="9"/>
      <c r="R115" s="9"/>
      <c r="S115" s="9"/>
      <c r="T115" s="9"/>
      <c r="U115" s="9" t="s">
        <v>365</v>
      </c>
      <c r="V115" s="9" t="s">
        <v>264</v>
      </c>
      <c r="W115" s="9" t="s">
        <v>366</v>
      </c>
    </row>
    <row r="116" customFormat="false" ht="15" hidden="false" customHeight="false" outlineLevel="0" collapsed="false">
      <c r="A116" s="9" t="s">
        <v>478</v>
      </c>
      <c r="B116" s="11" t="n">
        <v>46178.4166666667</v>
      </c>
      <c r="C116" s="9" t="s">
        <v>38</v>
      </c>
      <c r="D116" s="9" t="s">
        <v>262</v>
      </c>
      <c r="E116" s="9" t="s">
        <v>270</v>
      </c>
      <c r="F116" s="9" t="s">
        <v>76</v>
      </c>
      <c r="G116" s="9" t="s">
        <v>20</v>
      </c>
      <c r="H116" s="9" t="s">
        <v>261</v>
      </c>
      <c r="I116" s="5" t="n">
        <v>1000</v>
      </c>
      <c r="J116" s="9" t="s">
        <v>144</v>
      </c>
      <c r="K116" s="9" t="s">
        <v>143</v>
      </c>
      <c r="L116" s="9" t="s">
        <v>145</v>
      </c>
      <c r="M116" s="9"/>
      <c r="N116" s="9"/>
      <c r="O116" s="9"/>
      <c r="P116" s="9"/>
      <c r="Q116" s="9"/>
      <c r="R116" s="9"/>
      <c r="S116" s="9"/>
      <c r="T116" s="9"/>
      <c r="U116" s="9" t="s">
        <v>365</v>
      </c>
      <c r="V116" s="9" t="s">
        <v>264</v>
      </c>
      <c r="W116" s="9" t="s">
        <v>366</v>
      </c>
    </row>
    <row r="117" customFormat="false" ht="15" hidden="false" customHeight="false" outlineLevel="0" collapsed="false">
      <c r="A117" s="9" t="s">
        <v>479</v>
      </c>
      <c r="B117" s="11" t="n">
        <v>46178.4166666667</v>
      </c>
      <c r="C117" s="9" t="s">
        <v>38</v>
      </c>
      <c r="D117" s="9" t="s">
        <v>262</v>
      </c>
      <c r="E117" s="9" t="s">
        <v>270</v>
      </c>
      <c r="F117" s="9" t="s">
        <v>77</v>
      </c>
      <c r="G117" s="9" t="s">
        <v>373</v>
      </c>
      <c r="H117" s="9" t="s">
        <v>261</v>
      </c>
      <c r="I117" s="5" t="n">
        <v>2000</v>
      </c>
      <c r="J117" s="9" t="s">
        <v>144</v>
      </c>
      <c r="K117" s="9" t="s">
        <v>143</v>
      </c>
      <c r="L117" s="9" t="s">
        <v>145</v>
      </c>
      <c r="M117" s="9"/>
      <c r="N117" s="9"/>
      <c r="O117" s="9"/>
      <c r="P117" s="9"/>
      <c r="Q117" s="9"/>
      <c r="R117" s="9"/>
      <c r="S117" s="9"/>
      <c r="T117" s="9"/>
      <c r="U117" s="9" t="s">
        <v>365</v>
      </c>
      <c r="V117" s="9" t="s">
        <v>264</v>
      </c>
      <c r="W117" s="9" t="s">
        <v>366</v>
      </c>
    </row>
    <row r="118" customFormat="false" ht="15" hidden="false" customHeight="false" outlineLevel="0" collapsed="false">
      <c r="A118" s="9" t="s">
        <v>480</v>
      </c>
      <c r="B118" s="11" t="n">
        <v>46192.4166666667</v>
      </c>
      <c r="C118" s="9" t="s">
        <v>38</v>
      </c>
      <c r="D118" s="9" t="s">
        <v>262</v>
      </c>
      <c r="E118" s="9" t="s">
        <v>270</v>
      </c>
      <c r="F118" s="9" t="s">
        <v>78</v>
      </c>
      <c r="G118" s="9" t="s">
        <v>20</v>
      </c>
      <c r="H118" s="9" t="s">
        <v>261</v>
      </c>
      <c r="I118" s="5" t="n">
        <v>2000</v>
      </c>
      <c r="J118" s="9" t="s">
        <v>144</v>
      </c>
      <c r="K118" s="9" t="s">
        <v>143</v>
      </c>
      <c r="L118" s="9" t="s">
        <v>145</v>
      </c>
      <c r="M118" s="9"/>
      <c r="N118" s="9"/>
      <c r="O118" s="9"/>
      <c r="P118" s="9"/>
      <c r="Q118" s="9"/>
      <c r="R118" s="9"/>
      <c r="S118" s="9"/>
      <c r="T118" s="9"/>
      <c r="U118" s="9" t="s">
        <v>365</v>
      </c>
      <c r="V118" s="9" t="s">
        <v>264</v>
      </c>
      <c r="W118" s="9" t="s">
        <v>366</v>
      </c>
    </row>
    <row r="119" customFormat="false" ht="15" hidden="false" customHeight="false" outlineLevel="0" collapsed="false">
      <c r="A119" s="9" t="s">
        <v>481</v>
      </c>
      <c r="B119" s="11" t="n">
        <v>46178.4166666667</v>
      </c>
      <c r="C119" s="9" t="s">
        <v>38</v>
      </c>
      <c r="D119" s="9" t="s">
        <v>262</v>
      </c>
      <c r="E119" s="9" t="s">
        <v>270</v>
      </c>
      <c r="F119" s="9" t="s">
        <v>81</v>
      </c>
      <c r="G119" s="9" t="s">
        <v>373</v>
      </c>
      <c r="H119" s="9" t="s">
        <v>261</v>
      </c>
      <c r="I119" s="5" t="n">
        <v>1000</v>
      </c>
      <c r="J119" s="9" t="s">
        <v>144</v>
      </c>
      <c r="K119" s="9" t="s">
        <v>143</v>
      </c>
      <c r="L119" s="9" t="s">
        <v>145</v>
      </c>
      <c r="M119" s="9"/>
      <c r="N119" s="9"/>
      <c r="O119" s="9"/>
      <c r="P119" s="9"/>
      <c r="Q119" s="9"/>
      <c r="R119" s="9"/>
      <c r="S119" s="9"/>
      <c r="T119" s="9"/>
      <c r="U119" s="9" t="s">
        <v>365</v>
      </c>
      <c r="V119" s="9" t="s">
        <v>264</v>
      </c>
      <c r="W119" s="9" t="s">
        <v>366</v>
      </c>
    </row>
    <row r="120" customFormat="false" ht="15" hidden="false" customHeight="false" outlineLevel="0" collapsed="false">
      <c r="A120" s="9" t="s">
        <v>482</v>
      </c>
      <c r="B120" s="11" t="n">
        <v>46091</v>
      </c>
      <c r="C120" s="9" t="s">
        <v>38</v>
      </c>
      <c r="D120" s="9" t="s">
        <v>262</v>
      </c>
      <c r="E120" s="9" t="s">
        <v>263</v>
      </c>
      <c r="F120" s="9" t="s">
        <v>65</v>
      </c>
      <c r="G120" s="9" t="s">
        <v>20</v>
      </c>
      <c r="H120" s="9" t="s">
        <v>261</v>
      </c>
      <c r="I120" s="5" t="n">
        <v>3000</v>
      </c>
      <c r="J120" s="9" t="s">
        <v>147</v>
      </c>
      <c r="K120" s="9" t="s">
        <v>146</v>
      </c>
      <c r="L120" s="9" t="s">
        <v>148</v>
      </c>
      <c r="M120" s="9"/>
      <c r="N120" s="9"/>
      <c r="O120" s="9"/>
      <c r="P120" s="9"/>
      <c r="Q120" s="9"/>
      <c r="R120" s="9"/>
      <c r="S120" s="9"/>
      <c r="T120" s="9"/>
      <c r="U120" s="9" t="s">
        <v>365</v>
      </c>
      <c r="V120" s="9" t="s">
        <v>264</v>
      </c>
      <c r="W120" s="9" t="s">
        <v>366</v>
      </c>
    </row>
    <row r="121" customFormat="false" ht="15" hidden="false" customHeight="false" outlineLevel="0" collapsed="false">
      <c r="A121" s="9" t="s">
        <v>483</v>
      </c>
      <c r="B121" s="11" t="n">
        <v>46178.4166666667</v>
      </c>
      <c r="C121" s="9" t="s">
        <v>38</v>
      </c>
      <c r="D121" s="9" t="s">
        <v>262</v>
      </c>
      <c r="E121" s="9" t="s">
        <v>270</v>
      </c>
      <c r="F121" s="9" t="s">
        <v>76</v>
      </c>
      <c r="G121" s="9" t="s">
        <v>20</v>
      </c>
      <c r="H121" s="9" t="s">
        <v>261</v>
      </c>
      <c r="I121" s="5" t="n">
        <v>1000</v>
      </c>
      <c r="J121" s="9" t="s">
        <v>147</v>
      </c>
      <c r="K121" s="9" t="s">
        <v>146</v>
      </c>
      <c r="L121" s="9" t="s">
        <v>148</v>
      </c>
      <c r="M121" s="9"/>
      <c r="N121" s="9"/>
      <c r="O121" s="9"/>
      <c r="P121" s="9"/>
      <c r="Q121" s="9"/>
      <c r="R121" s="9"/>
      <c r="S121" s="9"/>
      <c r="T121" s="9"/>
      <c r="U121" s="9" t="s">
        <v>365</v>
      </c>
      <c r="V121" s="9" t="s">
        <v>264</v>
      </c>
      <c r="W121" s="9" t="s">
        <v>366</v>
      </c>
    </row>
    <row r="122" customFormat="false" ht="15" hidden="false" customHeight="false" outlineLevel="0" collapsed="false">
      <c r="A122" s="9" t="s">
        <v>484</v>
      </c>
      <c r="B122" s="11" t="n">
        <v>46178.4166666667</v>
      </c>
      <c r="C122" s="9" t="s">
        <v>38</v>
      </c>
      <c r="D122" s="9" t="s">
        <v>262</v>
      </c>
      <c r="E122" s="9" t="s">
        <v>270</v>
      </c>
      <c r="F122" s="9" t="s">
        <v>77</v>
      </c>
      <c r="G122" s="9" t="s">
        <v>373</v>
      </c>
      <c r="H122" s="9" t="s">
        <v>261</v>
      </c>
      <c r="I122" s="5" t="n">
        <v>2000</v>
      </c>
      <c r="J122" s="9" t="s">
        <v>147</v>
      </c>
      <c r="K122" s="9" t="s">
        <v>146</v>
      </c>
      <c r="L122" s="9" t="s">
        <v>148</v>
      </c>
      <c r="M122" s="9"/>
      <c r="N122" s="9"/>
      <c r="O122" s="9"/>
      <c r="P122" s="9"/>
      <c r="Q122" s="9"/>
      <c r="R122" s="9"/>
      <c r="S122" s="9"/>
      <c r="T122" s="9"/>
      <c r="U122" s="9" t="s">
        <v>365</v>
      </c>
      <c r="V122" s="9" t="s">
        <v>264</v>
      </c>
      <c r="W122" s="9" t="s">
        <v>366</v>
      </c>
    </row>
    <row r="123" customFormat="false" ht="15" hidden="false" customHeight="false" outlineLevel="0" collapsed="false">
      <c r="A123" s="9" t="s">
        <v>485</v>
      </c>
      <c r="B123" s="11" t="n">
        <v>46192.4166666667</v>
      </c>
      <c r="C123" s="9" t="s">
        <v>38</v>
      </c>
      <c r="D123" s="9" t="s">
        <v>262</v>
      </c>
      <c r="E123" s="9" t="s">
        <v>270</v>
      </c>
      <c r="F123" s="9" t="s">
        <v>78</v>
      </c>
      <c r="G123" s="9" t="s">
        <v>20</v>
      </c>
      <c r="H123" s="9" t="s">
        <v>261</v>
      </c>
      <c r="I123" s="5" t="n">
        <v>2000</v>
      </c>
      <c r="J123" s="9" t="s">
        <v>147</v>
      </c>
      <c r="K123" s="9" t="s">
        <v>146</v>
      </c>
      <c r="L123" s="9" t="s">
        <v>148</v>
      </c>
      <c r="M123" s="9"/>
      <c r="N123" s="9"/>
      <c r="O123" s="9"/>
      <c r="P123" s="9"/>
      <c r="Q123" s="9"/>
      <c r="R123" s="9"/>
      <c r="S123" s="9"/>
      <c r="T123" s="9"/>
      <c r="U123" s="9" t="s">
        <v>365</v>
      </c>
      <c r="V123" s="9" t="s">
        <v>264</v>
      </c>
      <c r="W123" s="9" t="s">
        <v>366</v>
      </c>
    </row>
    <row r="124" customFormat="false" ht="15" hidden="false" customHeight="false" outlineLevel="0" collapsed="false">
      <c r="A124" s="9" t="s">
        <v>486</v>
      </c>
      <c r="B124" s="11" t="n">
        <v>46178.4166666667</v>
      </c>
      <c r="C124" s="9" t="s">
        <v>38</v>
      </c>
      <c r="D124" s="9" t="s">
        <v>262</v>
      </c>
      <c r="E124" s="9" t="s">
        <v>270</v>
      </c>
      <c r="F124" s="9" t="s">
        <v>81</v>
      </c>
      <c r="G124" s="9" t="s">
        <v>373</v>
      </c>
      <c r="H124" s="9" t="s">
        <v>261</v>
      </c>
      <c r="I124" s="5" t="n">
        <v>1000</v>
      </c>
      <c r="J124" s="9" t="s">
        <v>147</v>
      </c>
      <c r="K124" s="9" t="s">
        <v>146</v>
      </c>
      <c r="L124" s="9" t="s">
        <v>148</v>
      </c>
      <c r="M124" s="9"/>
      <c r="N124" s="9"/>
      <c r="O124" s="9"/>
      <c r="P124" s="9"/>
      <c r="Q124" s="9"/>
      <c r="R124" s="9"/>
      <c r="S124" s="9"/>
      <c r="T124" s="9"/>
      <c r="U124" s="9" t="s">
        <v>365</v>
      </c>
      <c r="V124" s="9" t="s">
        <v>264</v>
      </c>
      <c r="W124" s="9" t="s">
        <v>366</v>
      </c>
    </row>
    <row r="125" customFormat="false" ht="15" hidden="false" customHeight="false" outlineLevel="0" collapsed="false">
      <c r="A125" s="9" t="s">
        <v>487</v>
      </c>
      <c r="B125" s="11" t="n">
        <v>46091</v>
      </c>
      <c r="C125" s="9" t="s">
        <v>38</v>
      </c>
      <c r="D125" s="9" t="s">
        <v>262</v>
      </c>
      <c r="E125" s="9" t="s">
        <v>263</v>
      </c>
      <c r="F125" s="9" t="s">
        <v>65</v>
      </c>
      <c r="G125" s="9" t="s">
        <v>20</v>
      </c>
      <c r="H125" s="9" t="s">
        <v>261</v>
      </c>
      <c r="I125" s="5" t="n">
        <v>3000</v>
      </c>
      <c r="J125" s="9" t="s">
        <v>150</v>
      </c>
      <c r="K125" s="9" t="s">
        <v>149</v>
      </c>
      <c r="L125" s="9" t="s">
        <v>151</v>
      </c>
      <c r="M125" s="9"/>
      <c r="N125" s="9"/>
      <c r="O125" s="9"/>
      <c r="P125" s="9"/>
      <c r="Q125" s="9"/>
      <c r="R125" s="9"/>
      <c r="S125" s="9"/>
      <c r="T125" s="9"/>
      <c r="U125" s="9" t="s">
        <v>365</v>
      </c>
      <c r="V125" s="9" t="s">
        <v>264</v>
      </c>
      <c r="W125" s="9" t="s">
        <v>366</v>
      </c>
    </row>
    <row r="126" customFormat="false" ht="15" hidden="false" customHeight="false" outlineLevel="0" collapsed="false">
      <c r="A126" s="9" t="s">
        <v>488</v>
      </c>
      <c r="B126" s="11" t="n">
        <v>46122</v>
      </c>
      <c r="C126" s="9" t="s">
        <v>38</v>
      </c>
      <c r="D126" s="9" t="s">
        <v>262</v>
      </c>
      <c r="E126" s="9" t="s">
        <v>263</v>
      </c>
      <c r="F126" s="9" t="s">
        <v>66</v>
      </c>
      <c r="G126" s="9" t="s">
        <v>20</v>
      </c>
      <c r="H126" s="9" t="s">
        <v>261</v>
      </c>
      <c r="I126" s="5" t="n">
        <v>3000</v>
      </c>
      <c r="J126" s="9" t="s">
        <v>150</v>
      </c>
      <c r="K126" s="9" t="s">
        <v>149</v>
      </c>
      <c r="L126" s="9" t="s">
        <v>151</v>
      </c>
      <c r="M126" s="9"/>
      <c r="N126" s="9"/>
      <c r="O126" s="9"/>
      <c r="P126" s="9"/>
      <c r="Q126" s="9"/>
      <c r="R126" s="9"/>
      <c r="S126" s="9"/>
      <c r="T126" s="9"/>
      <c r="U126" s="9" t="s">
        <v>365</v>
      </c>
      <c r="V126" s="9" t="s">
        <v>264</v>
      </c>
      <c r="W126" s="9" t="s">
        <v>366</v>
      </c>
    </row>
    <row r="127" customFormat="false" ht="15" hidden="false" customHeight="false" outlineLevel="0" collapsed="false">
      <c r="A127" s="9" t="s">
        <v>489</v>
      </c>
      <c r="B127" s="11" t="n">
        <v>46152</v>
      </c>
      <c r="C127" s="9" t="s">
        <v>38</v>
      </c>
      <c r="D127" s="9" t="s">
        <v>262</v>
      </c>
      <c r="E127" s="9" t="s">
        <v>263</v>
      </c>
      <c r="F127" s="9" t="s">
        <v>67</v>
      </c>
      <c r="G127" s="9" t="s">
        <v>20</v>
      </c>
      <c r="H127" s="9" t="s">
        <v>261</v>
      </c>
      <c r="I127" s="5" t="n">
        <v>3000</v>
      </c>
      <c r="J127" s="9" t="s">
        <v>150</v>
      </c>
      <c r="K127" s="9" t="s">
        <v>149</v>
      </c>
      <c r="L127" s="9" t="s">
        <v>151</v>
      </c>
      <c r="M127" s="9"/>
      <c r="N127" s="9"/>
      <c r="O127" s="9"/>
      <c r="P127" s="9"/>
      <c r="Q127" s="9"/>
      <c r="R127" s="9"/>
      <c r="S127" s="9"/>
      <c r="T127" s="9"/>
      <c r="U127" s="9" t="s">
        <v>365</v>
      </c>
      <c r="V127" s="9" t="s">
        <v>264</v>
      </c>
      <c r="W127" s="9" t="s">
        <v>366</v>
      </c>
    </row>
    <row r="128" customFormat="false" ht="15" hidden="false" customHeight="false" outlineLevel="0" collapsed="false">
      <c r="A128" s="9" t="s">
        <v>490</v>
      </c>
      <c r="B128" s="11" t="n">
        <v>46192</v>
      </c>
      <c r="C128" s="9" t="s">
        <v>38</v>
      </c>
      <c r="D128" s="9" t="s">
        <v>262</v>
      </c>
      <c r="E128" s="9" t="s">
        <v>263</v>
      </c>
      <c r="F128" s="9" t="s">
        <v>68</v>
      </c>
      <c r="G128" s="9" t="s">
        <v>20</v>
      </c>
      <c r="H128" s="9" t="s">
        <v>261</v>
      </c>
      <c r="I128" s="5" t="n">
        <v>3000</v>
      </c>
      <c r="J128" s="9" t="s">
        <v>150</v>
      </c>
      <c r="K128" s="9" t="s">
        <v>149</v>
      </c>
      <c r="L128" s="9" t="s">
        <v>151</v>
      </c>
      <c r="M128" s="9"/>
      <c r="N128" s="9"/>
      <c r="O128" s="9"/>
      <c r="P128" s="9"/>
      <c r="Q128" s="9"/>
      <c r="R128" s="9"/>
      <c r="S128" s="9"/>
      <c r="T128" s="9"/>
      <c r="U128" s="9" t="s">
        <v>365</v>
      </c>
      <c r="V128" s="9" t="s">
        <v>264</v>
      </c>
      <c r="W128" s="9" t="s">
        <v>366</v>
      </c>
    </row>
    <row r="129" customFormat="false" ht="15" hidden="false" customHeight="false" outlineLevel="0" collapsed="false">
      <c r="A129" s="9" t="s">
        <v>491</v>
      </c>
      <c r="B129" s="11" t="n">
        <v>46213</v>
      </c>
      <c r="C129" s="9" t="s">
        <v>38</v>
      </c>
      <c r="D129" s="9" t="s">
        <v>262</v>
      </c>
      <c r="E129" s="9" t="s">
        <v>263</v>
      </c>
      <c r="F129" s="9" t="s">
        <v>69</v>
      </c>
      <c r="G129" s="9" t="s">
        <v>20</v>
      </c>
      <c r="H129" s="9" t="s">
        <v>261</v>
      </c>
      <c r="I129" s="5" t="n">
        <v>3000</v>
      </c>
      <c r="J129" s="9" t="s">
        <v>150</v>
      </c>
      <c r="K129" s="9" t="s">
        <v>149</v>
      </c>
      <c r="L129" s="9" t="s">
        <v>151</v>
      </c>
      <c r="M129" s="9"/>
      <c r="N129" s="9"/>
      <c r="O129" s="9"/>
      <c r="P129" s="9"/>
      <c r="Q129" s="9"/>
      <c r="R129" s="9"/>
      <c r="S129" s="9"/>
      <c r="T129" s="9"/>
      <c r="U129" s="9" t="s">
        <v>365</v>
      </c>
      <c r="V129" s="9" t="s">
        <v>264</v>
      </c>
      <c r="W129" s="9" t="s">
        <v>366</v>
      </c>
    </row>
    <row r="130" customFormat="false" ht="15" hidden="false" customHeight="false" outlineLevel="0" collapsed="false">
      <c r="A130" s="9" t="s">
        <v>492</v>
      </c>
      <c r="B130" s="11" t="n">
        <v>46178.4166666667</v>
      </c>
      <c r="C130" s="9" t="s">
        <v>38</v>
      </c>
      <c r="D130" s="9" t="s">
        <v>262</v>
      </c>
      <c r="E130" s="9" t="s">
        <v>270</v>
      </c>
      <c r="F130" s="9" t="s">
        <v>76</v>
      </c>
      <c r="G130" s="9" t="s">
        <v>373</v>
      </c>
      <c r="H130" s="9" t="s">
        <v>261</v>
      </c>
      <c r="I130" s="5" t="n">
        <v>1000</v>
      </c>
      <c r="J130" s="9" t="s">
        <v>150</v>
      </c>
      <c r="K130" s="9" t="s">
        <v>149</v>
      </c>
      <c r="L130" s="9" t="s">
        <v>151</v>
      </c>
      <c r="M130" s="9"/>
      <c r="N130" s="9"/>
      <c r="O130" s="9"/>
      <c r="P130" s="9"/>
      <c r="Q130" s="9"/>
      <c r="R130" s="9"/>
      <c r="S130" s="9"/>
      <c r="T130" s="9"/>
      <c r="U130" s="9" t="s">
        <v>365</v>
      </c>
      <c r="V130" s="9" t="s">
        <v>264</v>
      </c>
      <c r="W130" s="9" t="s">
        <v>366</v>
      </c>
    </row>
    <row r="131" customFormat="false" ht="15" hidden="false" customHeight="false" outlineLevel="0" collapsed="false">
      <c r="A131" s="9" t="s">
        <v>493</v>
      </c>
      <c r="B131" s="11" t="n">
        <v>46178.4166666667</v>
      </c>
      <c r="C131" s="9" t="s">
        <v>38</v>
      </c>
      <c r="D131" s="9" t="s">
        <v>262</v>
      </c>
      <c r="E131" s="9" t="s">
        <v>270</v>
      </c>
      <c r="F131" s="9" t="s">
        <v>77</v>
      </c>
      <c r="G131" s="9" t="s">
        <v>373</v>
      </c>
      <c r="H131" s="9" t="s">
        <v>261</v>
      </c>
      <c r="I131" s="5" t="n">
        <v>2000</v>
      </c>
      <c r="J131" s="9" t="s">
        <v>150</v>
      </c>
      <c r="K131" s="9" t="s">
        <v>149</v>
      </c>
      <c r="L131" s="9" t="s">
        <v>151</v>
      </c>
      <c r="M131" s="9"/>
      <c r="N131" s="9"/>
      <c r="O131" s="9"/>
      <c r="P131" s="9"/>
      <c r="Q131" s="9"/>
      <c r="R131" s="9"/>
      <c r="S131" s="9"/>
      <c r="T131" s="9"/>
      <c r="U131" s="9" t="s">
        <v>365</v>
      </c>
      <c r="V131" s="9" t="s">
        <v>264</v>
      </c>
      <c r="W131" s="9" t="s">
        <v>366</v>
      </c>
    </row>
    <row r="132" customFormat="false" ht="15" hidden="false" customHeight="false" outlineLevel="0" collapsed="false">
      <c r="A132" s="9" t="s">
        <v>494</v>
      </c>
      <c r="B132" s="11" t="n">
        <v>46192.4166666667</v>
      </c>
      <c r="C132" s="9" t="s">
        <v>38</v>
      </c>
      <c r="D132" s="9" t="s">
        <v>262</v>
      </c>
      <c r="E132" s="9" t="s">
        <v>270</v>
      </c>
      <c r="F132" s="9" t="s">
        <v>78</v>
      </c>
      <c r="G132" s="9" t="s">
        <v>20</v>
      </c>
      <c r="H132" s="9" t="s">
        <v>261</v>
      </c>
      <c r="I132" s="5" t="n">
        <v>2000</v>
      </c>
      <c r="J132" s="9" t="s">
        <v>150</v>
      </c>
      <c r="K132" s="9" t="s">
        <v>149</v>
      </c>
      <c r="L132" s="9" t="s">
        <v>151</v>
      </c>
      <c r="M132" s="9"/>
      <c r="N132" s="9"/>
      <c r="O132" s="9"/>
      <c r="P132" s="9"/>
      <c r="Q132" s="9"/>
      <c r="R132" s="9"/>
      <c r="S132" s="9"/>
      <c r="T132" s="9"/>
      <c r="U132" s="9" t="s">
        <v>365</v>
      </c>
      <c r="V132" s="9" t="s">
        <v>264</v>
      </c>
      <c r="W132" s="9" t="s">
        <v>366</v>
      </c>
    </row>
    <row r="133" customFormat="false" ht="15" hidden="false" customHeight="false" outlineLevel="0" collapsed="false">
      <c r="A133" s="9" t="s">
        <v>495</v>
      </c>
      <c r="B133" s="11" t="n">
        <v>46178.4166666667</v>
      </c>
      <c r="C133" s="9" t="s">
        <v>38</v>
      </c>
      <c r="D133" s="9" t="s">
        <v>262</v>
      </c>
      <c r="E133" s="9" t="s">
        <v>270</v>
      </c>
      <c r="F133" s="9" t="s">
        <v>81</v>
      </c>
      <c r="G133" s="9" t="s">
        <v>20</v>
      </c>
      <c r="H133" s="9" t="s">
        <v>261</v>
      </c>
      <c r="I133" s="5" t="n">
        <v>1000</v>
      </c>
      <c r="J133" s="9" t="s">
        <v>150</v>
      </c>
      <c r="K133" s="9" t="s">
        <v>149</v>
      </c>
      <c r="L133" s="9" t="s">
        <v>151</v>
      </c>
      <c r="M133" s="9"/>
      <c r="N133" s="9"/>
      <c r="O133" s="9"/>
      <c r="P133" s="9"/>
      <c r="Q133" s="9"/>
      <c r="R133" s="9"/>
      <c r="S133" s="9"/>
      <c r="T133" s="9"/>
      <c r="U133" s="9" t="s">
        <v>365</v>
      </c>
      <c r="V133" s="9" t="s">
        <v>264</v>
      </c>
      <c r="W133" s="9" t="s">
        <v>366</v>
      </c>
    </row>
    <row r="134" customFormat="false" ht="15" hidden="false" customHeight="false" outlineLevel="0" collapsed="false">
      <c r="A134" s="9" t="s">
        <v>496</v>
      </c>
      <c r="B134" s="11" t="n">
        <v>46091</v>
      </c>
      <c r="C134" s="9" t="s">
        <v>38</v>
      </c>
      <c r="D134" s="9" t="s">
        <v>262</v>
      </c>
      <c r="E134" s="9" t="s">
        <v>263</v>
      </c>
      <c r="F134" s="9" t="s">
        <v>65</v>
      </c>
      <c r="G134" s="9" t="s">
        <v>20</v>
      </c>
      <c r="H134" s="9" t="s">
        <v>261</v>
      </c>
      <c r="I134" s="5" t="n">
        <v>3000</v>
      </c>
      <c r="J134" s="9" t="s">
        <v>153</v>
      </c>
      <c r="K134" s="9" t="s">
        <v>152</v>
      </c>
      <c r="L134" s="9" t="s">
        <v>154</v>
      </c>
      <c r="M134" s="9"/>
      <c r="N134" s="9"/>
      <c r="O134" s="9"/>
      <c r="P134" s="9"/>
      <c r="Q134" s="9"/>
      <c r="R134" s="9"/>
      <c r="S134" s="9"/>
      <c r="T134" s="9"/>
      <c r="U134" s="9" t="s">
        <v>365</v>
      </c>
      <c r="V134" s="9" t="s">
        <v>264</v>
      </c>
      <c r="W134" s="9" t="s">
        <v>366</v>
      </c>
    </row>
    <row r="135" customFormat="false" ht="15" hidden="false" customHeight="false" outlineLevel="0" collapsed="false">
      <c r="A135" s="9" t="s">
        <v>497</v>
      </c>
      <c r="B135" s="11" t="n">
        <v>46122</v>
      </c>
      <c r="C135" s="9" t="s">
        <v>38</v>
      </c>
      <c r="D135" s="9" t="s">
        <v>262</v>
      </c>
      <c r="E135" s="9" t="s">
        <v>263</v>
      </c>
      <c r="F135" s="9" t="s">
        <v>66</v>
      </c>
      <c r="G135" s="9" t="s">
        <v>20</v>
      </c>
      <c r="H135" s="9" t="s">
        <v>261</v>
      </c>
      <c r="I135" s="5" t="n">
        <v>3000</v>
      </c>
      <c r="J135" s="9" t="s">
        <v>153</v>
      </c>
      <c r="K135" s="9" t="s">
        <v>152</v>
      </c>
      <c r="L135" s="9" t="s">
        <v>154</v>
      </c>
      <c r="M135" s="9"/>
      <c r="N135" s="9"/>
      <c r="O135" s="9"/>
      <c r="P135" s="9"/>
      <c r="Q135" s="9"/>
      <c r="R135" s="9"/>
      <c r="S135" s="9"/>
      <c r="T135" s="9"/>
      <c r="U135" s="9" t="s">
        <v>365</v>
      </c>
      <c r="V135" s="9" t="s">
        <v>264</v>
      </c>
      <c r="W135" s="9" t="s">
        <v>366</v>
      </c>
    </row>
    <row r="136" customFormat="false" ht="15" hidden="false" customHeight="false" outlineLevel="0" collapsed="false">
      <c r="A136" s="9" t="s">
        <v>498</v>
      </c>
      <c r="B136" s="11" t="n">
        <v>46152</v>
      </c>
      <c r="C136" s="9" t="s">
        <v>38</v>
      </c>
      <c r="D136" s="9" t="s">
        <v>262</v>
      </c>
      <c r="E136" s="9" t="s">
        <v>263</v>
      </c>
      <c r="F136" s="9" t="s">
        <v>67</v>
      </c>
      <c r="G136" s="9" t="s">
        <v>20</v>
      </c>
      <c r="H136" s="9" t="s">
        <v>261</v>
      </c>
      <c r="I136" s="5" t="n">
        <v>3000</v>
      </c>
      <c r="J136" s="9" t="s">
        <v>153</v>
      </c>
      <c r="K136" s="9" t="s">
        <v>152</v>
      </c>
      <c r="L136" s="9" t="s">
        <v>154</v>
      </c>
      <c r="M136" s="9"/>
      <c r="N136" s="9"/>
      <c r="O136" s="9"/>
      <c r="P136" s="9"/>
      <c r="Q136" s="9"/>
      <c r="R136" s="9"/>
      <c r="S136" s="9"/>
      <c r="T136" s="9"/>
      <c r="U136" s="9" t="s">
        <v>365</v>
      </c>
      <c r="V136" s="9" t="s">
        <v>264</v>
      </c>
      <c r="W136" s="9" t="s">
        <v>366</v>
      </c>
    </row>
    <row r="137" customFormat="false" ht="15" hidden="false" customHeight="false" outlineLevel="0" collapsed="false">
      <c r="A137" s="9" t="s">
        <v>499</v>
      </c>
      <c r="B137" s="11" t="n">
        <v>46192</v>
      </c>
      <c r="C137" s="9" t="s">
        <v>38</v>
      </c>
      <c r="D137" s="9" t="s">
        <v>262</v>
      </c>
      <c r="E137" s="9" t="s">
        <v>263</v>
      </c>
      <c r="F137" s="9" t="s">
        <v>68</v>
      </c>
      <c r="G137" s="9" t="s">
        <v>20</v>
      </c>
      <c r="H137" s="9" t="s">
        <v>261</v>
      </c>
      <c r="I137" s="5" t="n">
        <v>3000</v>
      </c>
      <c r="J137" s="9" t="s">
        <v>153</v>
      </c>
      <c r="K137" s="9" t="s">
        <v>152</v>
      </c>
      <c r="L137" s="9" t="s">
        <v>154</v>
      </c>
      <c r="M137" s="9"/>
      <c r="N137" s="9"/>
      <c r="O137" s="9"/>
      <c r="P137" s="9"/>
      <c r="Q137" s="9"/>
      <c r="R137" s="9"/>
      <c r="S137" s="9"/>
      <c r="T137" s="9"/>
      <c r="U137" s="9" t="s">
        <v>365</v>
      </c>
      <c r="V137" s="9" t="s">
        <v>264</v>
      </c>
      <c r="W137" s="9" t="s">
        <v>366</v>
      </c>
    </row>
    <row r="138" customFormat="false" ht="15" hidden="false" customHeight="false" outlineLevel="0" collapsed="false">
      <c r="A138" s="9" t="s">
        <v>500</v>
      </c>
      <c r="B138" s="11" t="n">
        <v>46213</v>
      </c>
      <c r="C138" s="9" t="s">
        <v>38</v>
      </c>
      <c r="D138" s="9" t="s">
        <v>262</v>
      </c>
      <c r="E138" s="9" t="s">
        <v>263</v>
      </c>
      <c r="F138" s="9" t="s">
        <v>69</v>
      </c>
      <c r="G138" s="9" t="s">
        <v>20</v>
      </c>
      <c r="H138" s="9" t="s">
        <v>261</v>
      </c>
      <c r="I138" s="5" t="n">
        <v>3000</v>
      </c>
      <c r="J138" s="9" t="s">
        <v>153</v>
      </c>
      <c r="K138" s="9" t="s">
        <v>152</v>
      </c>
      <c r="L138" s="9" t="s">
        <v>154</v>
      </c>
      <c r="M138" s="9"/>
      <c r="N138" s="9"/>
      <c r="O138" s="9"/>
      <c r="P138" s="9"/>
      <c r="Q138" s="9"/>
      <c r="R138" s="9"/>
      <c r="S138" s="9"/>
      <c r="T138" s="9"/>
      <c r="U138" s="9" t="s">
        <v>365</v>
      </c>
      <c r="V138" s="9" t="s">
        <v>264</v>
      </c>
      <c r="W138" s="9" t="s">
        <v>366</v>
      </c>
    </row>
    <row r="139" customFormat="false" ht="15" hidden="false" customHeight="false" outlineLevel="0" collapsed="false">
      <c r="A139" s="9" t="s">
        <v>501</v>
      </c>
      <c r="B139" s="11" t="n">
        <v>46244</v>
      </c>
      <c r="C139" s="9" t="s">
        <v>38</v>
      </c>
      <c r="D139" s="9" t="s">
        <v>262</v>
      </c>
      <c r="E139" s="9" t="s">
        <v>263</v>
      </c>
      <c r="F139" s="9" t="s">
        <v>70</v>
      </c>
      <c r="G139" s="9" t="s">
        <v>20</v>
      </c>
      <c r="H139" s="9" t="s">
        <v>261</v>
      </c>
      <c r="I139" s="5" t="n">
        <v>3000</v>
      </c>
      <c r="J139" s="9" t="s">
        <v>153</v>
      </c>
      <c r="K139" s="9" t="s">
        <v>152</v>
      </c>
      <c r="L139" s="9" t="s">
        <v>154</v>
      </c>
      <c r="M139" s="9"/>
      <c r="N139" s="9"/>
      <c r="O139" s="9"/>
      <c r="P139" s="9"/>
      <c r="Q139" s="9"/>
      <c r="R139" s="9"/>
      <c r="S139" s="9"/>
      <c r="T139" s="9"/>
      <c r="U139" s="9" t="s">
        <v>365</v>
      </c>
      <c r="V139" s="9" t="s">
        <v>264</v>
      </c>
      <c r="W139" s="9" t="s">
        <v>366</v>
      </c>
    </row>
    <row r="140" customFormat="false" ht="15" hidden="false" customHeight="false" outlineLevel="0" collapsed="false">
      <c r="A140" s="9" t="s">
        <v>502</v>
      </c>
      <c r="B140" s="11" t="n">
        <v>46178.4166666667</v>
      </c>
      <c r="C140" s="9" t="s">
        <v>38</v>
      </c>
      <c r="D140" s="9" t="s">
        <v>262</v>
      </c>
      <c r="E140" s="9" t="s">
        <v>270</v>
      </c>
      <c r="F140" s="9" t="s">
        <v>76</v>
      </c>
      <c r="G140" s="9" t="s">
        <v>20</v>
      </c>
      <c r="H140" s="9" t="s">
        <v>261</v>
      </c>
      <c r="I140" s="5" t="n">
        <v>1000</v>
      </c>
      <c r="J140" s="9" t="s">
        <v>153</v>
      </c>
      <c r="K140" s="9" t="s">
        <v>152</v>
      </c>
      <c r="L140" s="9" t="s">
        <v>154</v>
      </c>
      <c r="M140" s="9"/>
      <c r="N140" s="9"/>
      <c r="O140" s="9"/>
      <c r="P140" s="9"/>
      <c r="Q140" s="9"/>
      <c r="R140" s="9"/>
      <c r="S140" s="9"/>
      <c r="T140" s="9"/>
      <c r="U140" s="9" t="s">
        <v>365</v>
      </c>
      <c r="V140" s="9" t="s">
        <v>264</v>
      </c>
      <c r="W140" s="9" t="s">
        <v>366</v>
      </c>
    </row>
    <row r="141" customFormat="false" ht="15" hidden="false" customHeight="false" outlineLevel="0" collapsed="false">
      <c r="A141" s="9" t="s">
        <v>503</v>
      </c>
      <c r="B141" s="11" t="n">
        <v>46178.4166666667</v>
      </c>
      <c r="C141" s="9" t="s">
        <v>38</v>
      </c>
      <c r="D141" s="9" t="s">
        <v>262</v>
      </c>
      <c r="E141" s="9" t="s">
        <v>270</v>
      </c>
      <c r="F141" s="9" t="s">
        <v>77</v>
      </c>
      <c r="G141" s="9" t="s">
        <v>20</v>
      </c>
      <c r="H141" s="9" t="s">
        <v>261</v>
      </c>
      <c r="I141" s="5" t="n">
        <v>2000</v>
      </c>
      <c r="J141" s="9" t="s">
        <v>153</v>
      </c>
      <c r="K141" s="9" t="s">
        <v>152</v>
      </c>
      <c r="L141" s="9" t="s">
        <v>154</v>
      </c>
      <c r="M141" s="9"/>
      <c r="N141" s="9"/>
      <c r="O141" s="9"/>
      <c r="P141" s="9"/>
      <c r="Q141" s="9"/>
      <c r="R141" s="9"/>
      <c r="S141" s="9"/>
      <c r="T141" s="9"/>
      <c r="U141" s="9" t="s">
        <v>365</v>
      </c>
      <c r="V141" s="9" t="s">
        <v>264</v>
      </c>
      <c r="W141" s="9" t="s">
        <v>366</v>
      </c>
    </row>
    <row r="142" customFormat="false" ht="15" hidden="false" customHeight="false" outlineLevel="0" collapsed="false">
      <c r="A142" s="9" t="s">
        <v>504</v>
      </c>
      <c r="B142" s="11" t="n">
        <v>46091</v>
      </c>
      <c r="C142" s="9" t="s">
        <v>38</v>
      </c>
      <c r="D142" s="9" t="s">
        <v>262</v>
      </c>
      <c r="E142" s="9" t="s">
        <v>263</v>
      </c>
      <c r="F142" s="9" t="s">
        <v>65</v>
      </c>
      <c r="G142" s="9" t="s">
        <v>20</v>
      </c>
      <c r="H142" s="9" t="s">
        <v>261</v>
      </c>
      <c r="I142" s="5" t="n">
        <v>3000</v>
      </c>
      <c r="J142" s="9" t="s">
        <v>156</v>
      </c>
      <c r="K142" s="9" t="s">
        <v>155</v>
      </c>
      <c r="L142" s="9" t="s">
        <v>157</v>
      </c>
      <c r="M142" s="9"/>
      <c r="N142" s="9"/>
      <c r="O142" s="9"/>
      <c r="P142" s="9"/>
      <c r="Q142" s="9"/>
      <c r="R142" s="9"/>
      <c r="S142" s="9"/>
      <c r="T142" s="9"/>
      <c r="U142" s="9" t="s">
        <v>365</v>
      </c>
      <c r="V142" s="9" t="s">
        <v>264</v>
      </c>
      <c r="W142" s="9" t="s">
        <v>366</v>
      </c>
    </row>
    <row r="143" customFormat="false" ht="15" hidden="false" customHeight="false" outlineLevel="0" collapsed="false">
      <c r="A143" s="9" t="s">
        <v>505</v>
      </c>
      <c r="B143" s="11" t="n">
        <v>46122</v>
      </c>
      <c r="C143" s="9" t="s">
        <v>38</v>
      </c>
      <c r="D143" s="9" t="s">
        <v>262</v>
      </c>
      <c r="E143" s="9" t="s">
        <v>263</v>
      </c>
      <c r="F143" s="9" t="s">
        <v>66</v>
      </c>
      <c r="G143" s="9" t="s">
        <v>20</v>
      </c>
      <c r="H143" s="9" t="s">
        <v>261</v>
      </c>
      <c r="I143" s="5" t="n">
        <v>3000</v>
      </c>
      <c r="J143" s="9" t="s">
        <v>156</v>
      </c>
      <c r="K143" s="9" t="s">
        <v>155</v>
      </c>
      <c r="L143" s="9" t="s">
        <v>157</v>
      </c>
      <c r="M143" s="9"/>
      <c r="N143" s="9"/>
      <c r="O143" s="9"/>
      <c r="P143" s="9"/>
      <c r="Q143" s="9"/>
      <c r="R143" s="9"/>
      <c r="S143" s="9"/>
      <c r="T143" s="9"/>
      <c r="U143" s="9" t="s">
        <v>365</v>
      </c>
      <c r="V143" s="9" t="s">
        <v>264</v>
      </c>
      <c r="W143" s="9" t="s">
        <v>366</v>
      </c>
    </row>
    <row r="144" customFormat="false" ht="15" hidden="false" customHeight="false" outlineLevel="0" collapsed="false">
      <c r="A144" s="9" t="s">
        <v>506</v>
      </c>
      <c r="B144" s="11" t="n">
        <v>46152</v>
      </c>
      <c r="C144" s="9" t="s">
        <v>38</v>
      </c>
      <c r="D144" s="9" t="s">
        <v>262</v>
      </c>
      <c r="E144" s="9" t="s">
        <v>263</v>
      </c>
      <c r="F144" s="9" t="s">
        <v>67</v>
      </c>
      <c r="G144" s="9" t="s">
        <v>20</v>
      </c>
      <c r="H144" s="9" t="s">
        <v>261</v>
      </c>
      <c r="I144" s="5" t="n">
        <v>3000</v>
      </c>
      <c r="J144" s="9" t="s">
        <v>156</v>
      </c>
      <c r="K144" s="9" t="s">
        <v>155</v>
      </c>
      <c r="L144" s="9" t="s">
        <v>157</v>
      </c>
      <c r="M144" s="9"/>
      <c r="N144" s="9"/>
      <c r="O144" s="9"/>
      <c r="P144" s="9"/>
      <c r="Q144" s="9"/>
      <c r="R144" s="9"/>
      <c r="S144" s="9"/>
      <c r="T144" s="9"/>
      <c r="U144" s="9" t="s">
        <v>365</v>
      </c>
      <c r="V144" s="9" t="s">
        <v>264</v>
      </c>
      <c r="W144" s="9" t="s">
        <v>366</v>
      </c>
    </row>
    <row r="145" customFormat="false" ht="15" hidden="false" customHeight="false" outlineLevel="0" collapsed="false">
      <c r="A145" s="9" t="s">
        <v>507</v>
      </c>
      <c r="B145" s="11" t="n">
        <v>46192</v>
      </c>
      <c r="C145" s="9" t="s">
        <v>38</v>
      </c>
      <c r="D145" s="9" t="s">
        <v>262</v>
      </c>
      <c r="E145" s="9" t="s">
        <v>263</v>
      </c>
      <c r="F145" s="9" t="s">
        <v>68</v>
      </c>
      <c r="G145" s="9" t="s">
        <v>20</v>
      </c>
      <c r="H145" s="9" t="s">
        <v>261</v>
      </c>
      <c r="I145" s="5" t="n">
        <v>3000</v>
      </c>
      <c r="J145" s="9" t="s">
        <v>156</v>
      </c>
      <c r="K145" s="9" t="s">
        <v>155</v>
      </c>
      <c r="L145" s="9" t="s">
        <v>157</v>
      </c>
      <c r="M145" s="9"/>
      <c r="N145" s="9"/>
      <c r="O145" s="9"/>
      <c r="P145" s="9"/>
      <c r="Q145" s="9"/>
      <c r="R145" s="9"/>
      <c r="S145" s="9"/>
      <c r="T145" s="9"/>
      <c r="U145" s="9" t="s">
        <v>365</v>
      </c>
      <c r="V145" s="9" t="s">
        <v>264</v>
      </c>
      <c r="W145" s="9" t="s">
        <v>366</v>
      </c>
    </row>
    <row r="146" customFormat="false" ht="15" hidden="false" customHeight="false" outlineLevel="0" collapsed="false">
      <c r="A146" s="9" t="s">
        <v>508</v>
      </c>
      <c r="B146" s="11" t="n">
        <v>46213</v>
      </c>
      <c r="C146" s="9" t="s">
        <v>38</v>
      </c>
      <c r="D146" s="9" t="s">
        <v>262</v>
      </c>
      <c r="E146" s="9" t="s">
        <v>263</v>
      </c>
      <c r="F146" s="9" t="s">
        <v>69</v>
      </c>
      <c r="G146" s="9" t="s">
        <v>20</v>
      </c>
      <c r="H146" s="9" t="s">
        <v>261</v>
      </c>
      <c r="I146" s="5" t="n">
        <v>3000</v>
      </c>
      <c r="J146" s="9" t="s">
        <v>156</v>
      </c>
      <c r="K146" s="9" t="s">
        <v>155</v>
      </c>
      <c r="L146" s="9" t="s">
        <v>157</v>
      </c>
      <c r="M146" s="9"/>
      <c r="N146" s="9"/>
      <c r="O146" s="9"/>
      <c r="P146" s="9"/>
      <c r="Q146" s="9"/>
      <c r="R146" s="9"/>
      <c r="S146" s="9"/>
      <c r="T146" s="9"/>
      <c r="U146" s="9" t="s">
        <v>365</v>
      </c>
      <c r="V146" s="9" t="s">
        <v>264</v>
      </c>
      <c r="W146" s="9" t="s">
        <v>366</v>
      </c>
    </row>
    <row r="147" customFormat="false" ht="15" hidden="false" customHeight="false" outlineLevel="0" collapsed="false">
      <c r="A147" s="9" t="s">
        <v>509</v>
      </c>
      <c r="B147" s="11" t="n">
        <v>46244</v>
      </c>
      <c r="C147" s="9" t="s">
        <v>38</v>
      </c>
      <c r="D147" s="9" t="s">
        <v>262</v>
      </c>
      <c r="E147" s="9" t="s">
        <v>263</v>
      </c>
      <c r="F147" s="9" t="s">
        <v>70</v>
      </c>
      <c r="G147" s="9" t="s">
        <v>20</v>
      </c>
      <c r="H147" s="9" t="s">
        <v>261</v>
      </c>
      <c r="I147" s="5" t="n">
        <v>3000</v>
      </c>
      <c r="J147" s="9" t="s">
        <v>156</v>
      </c>
      <c r="K147" s="9" t="s">
        <v>155</v>
      </c>
      <c r="L147" s="9" t="s">
        <v>157</v>
      </c>
      <c r="M147" s="9"/>
      <c r="N147" s="9"/>
      <c r="O147" s="9"/>
      <c r="P147" s="9"/>
      <c r="Q147" s="9"/>
      <c r="R147" s="9"/>
      <c r="S147" s="9"/>
      <c r="T147" s="9"/>
      <c r="U147" s="9" t="s">
        <v>365</v>
      </c>
      <c r="V147" s="9" t="s">
        <v>264</v>
      </c>
      <c r="W147" s="9" t="s">
        <v>366</v>
      </c>
    </row>
    <row r="148" customFormat="false" ht="15" hidden="false" customHeight="false" outlineLevel="0" collapsed="false">
      <c r="A148" s="9" t="s">
        <v>510</v>
      </c>
      <c r="B148" s="11" t="n">
        <v>46275</v>
      </c>
      <c r="C148" s="9" t="s">
        <v>38</v>
      </c>
      <c r="D148" s="9" t="s">
        <v>262</v>
      </c>
      <c r="E148" s="9" t="s">
        <v>263</v>
      </c>
      <c r="F148" s="9" t="s">
        <v>71</v>
      </c>
      <c r="G148" s="9" t="s">
        <v>20</v>
      </c>
      <c r="H148" s="9" t="s">
        <v>261</v>
      </c>
      <c r="I148" s="5" t="n">
        <v>3000</v>
      </c>
      <c r="J148" s="9" t="s">
        <v>156</v>
      </c>
      <c r="K148" s="9" t="s">
        <v>155</v>
      </c>
      <c r="L148" s="9" t="s">
        <v>157</v>
      </c>
      <c r="M148" s="9"/>
      <c r="N148" s="9"/>
      <c r="O148" s="9"/>
      <c r="P148" s="9"/>
      <c r="Q148" s="9"/>
      <c r="R148" s="9"/>
      <c r="S148" s="9"/>
      <c r="T148" s="9"/>
      <c r="U148" s="9" t="s">
        <v>365</v>
      </c>
      <c r="V148" s="9" t="s">
        <v>264</v>
      </c>
      <c r="W148" s="9" t="s">
        <v>366</v>
      </c>
    </row>
    <row r="149" customFormat="false" ht="15" hidden="false" customHeight="false" outlineLevel="0" collapsed="false">
      <c r="A149" s="9" t="s">
        <v>511</v>
      </c>
      <c r="B149" s="11" t="n">
        <v>46305</v>
      </c>
      <c r="C149" s="9" t="s">
        <v>38</v>
      </c>
      <c r="D149" s="9" t="s">
        <v>262</v>
      </c>
      <c r="E149" s="9" t="s">
        <v>263</v>
      </c>
      <c r="F149" s="9" t="s">
        <v>72</v>
      </c>
      <c r="G149" s="9" t="s">
        <v>20</v>
      </c>
      <c r="H149" s="9" t="s">
        <v>261</v>
      </c>
      <c r="I149" s="5" t="n">
        <v>3000</v>
      </c>
      <c r="J149" s="9" t="s">
        <v>156</v>
      </c>
      <c r="K149" s="9" t="s">
        <v>155</v>
      </c>
      <c r="L149" s="9" t="s">
        <v>157</v>
      </c>
      <c r="M149" s="9"/>
      <c r="N149" s="9"/>
      <c r="O149" s="9"/>
      <c r="P149" s="9"/>
      <c r="Q149" s="9"/>
      <c r="R149" s="9"/>
      <c r="S149" s="9"/>
      <c r="T149" s="9"/>
      <c r="U149" s="9" t="s">
        <v>365</v>
      </c>
      <c r="V149" s="9" t="s">
        <v>264</v>
      </c>
      <c r="W149" s="9" t="s">
        <v>366</v>
      </c>
    </row>
    <row r="150" customFormat="false" ht="15" hidden="false" customHeight="false" outlineLevel="0" collapsed="false">
      <c r="A150" s="9" t="s">
        <v>512</v>
      </c>
      <c r="B150" s="11" t="n">
        <v>46336</v>
      </c>
      <c r="C150" s="9" t="s">
        <v>38</v>
      </c>
      <c r="D150" s="9" t="s">
        <v>262</v>
      </c>
      <c r="E150" s="9" t="s">
        <v>263</v>
      </c>
      <c r="F150" s="9" t="s">
        <v>73</v>
      </c>
      <c r="G150" s="9" t="s">
        <v>20</v>
      </c>
      <c r="H150" s="9" t="s">
        <v>261</v>
      </c>
      <c r="I150" s="5" t="n">
        <v>3000</v>
      </c>
      <c r="J150" s="9" t="s">
        <v>156</v>
      </c>
      <c r="K150" s="9" t="s">
        <v>155</v>
      </c>
      <c r="L150" s="9" t="s">
        <v>157</v>
      </c>
      <c r="M150" s="9"/>
      <c r="N150" s="9"/>
      <c r="O150" s="9"/>
      <c r="P150" s="9"/>
      <c r="Q150" s="9"/>
      <c r="R150" s="9"/>
      <c r="S150" s="9"/>
      <c r="T150" s="9"/>
      <c r="U150" s="9" t="s">
        <v>365</v>
      </c>
      <c r="V150" s="9" t="s">
        <v>264</v>
      </c>
      <c r="W150" s="9" t="s">
        <v>366</v>
      </c>
    </row>
    <row r="151" customFormat="false" ht="15" hidden="false" customHeight="false" outlineLevel="0" collapsed="false">
      <c r="A151" s="9" t="s">
        <v>513</v>
      </c>
      <c r="B151" s="11" t="n">
        <v>46366</v>
      </c>
      <c r="C151" s="9" t="s">
        <v>38</v>
      </c>
      <c r="D151" s="9" t="s">
        <v>262</v>
      </c>
      <c r="E151" s="9" t="s">
        <v>263</v>
      </c>
      <c r="F151" s="9" t="s">
        <v>74</v>
      </c>
      <c r="G151" s="9" t="s">
        <v>20</v>
      </c>
      <c r="H151" s="9" t="s">
        <v>261</v>
      </c>
      <c r="I151" s="5" t="n">
        <v>3000</v>
      </c>
      <c r="J151" s="9" t="s">
        <v>156</v>
      </c>
      <c r="K151" s="9" t="s">
        <v>155</v>
      </c>
      <c r="L151" s="9" t="s">
        <v>157</v>
      </c>
      <c r="M151" s="9"/>
      <c r="N151" s="9"/>
      <c r="O151" s="9"/>
      <c r="P151" s="9"/>
      <c r="Q151" s="9"/>
      <c r="R151" s="9"/>
      <c r="S151" s="9"/>
      <c r="T151" s="9"/>
      <c r="U151" s="9" t="s">
        <v>365</v>
      </c>
      <c r="V151" s="9" t="s">
        <v>264</v>
      </c>
      <c r="W151" s="9" t="s">
        <v>366</v>
      </c>
    </row>
    <row r="152" customFormat="false" ht="15" hidden="false" customHeight="false" outlineLevel="0" collapsed="false">
      <c r="A152" s="9" t="s">
        <v>514</v>
      </c>
      <c r="B152" s="11" t="n">
        <v>46178.4166666667</v>
      </c>
      <c r="C152" s="9" t="s">
        <v>38</v>
      </c>
      <c r="D152" s="9" t="s">
        <v>262</v>
      </c>
      <c r="E152" s="9" t="s">
        <v>270</v>
      </c>
      <c r="F152" s="9" t="s">
        <v>76</v>
      </c>
      <c r="G152" s="9" t="s">
        <v>373</v>
      </c>
      <c r="H152" s="9" t="s">
        <v>261</v>
      </c>
      <c r="I152" s="5" t="n">
        <v>1000</v>
      </c>
      <c r="J152" s="9" t="s">
        <v>156</v>
      </c>
      <c r="K152" s="9" t="s">
        <v>155</v>
      </c>
      <c r="L152" s="9" t="s">
        <v>157</v>
      </c>
      <c r="M152" s="9"/>
      <c r="N152" s="9"/>
      <c r="O152" s="9"/>
      <c r="P152" s="9"/>
      <c r="Q152" s="9"/>
      <c r="R152" s="9"/>
      <c r="S152" s="9"/>
      <c r="T152" s="9"/>
      <c r="U152" s="9" t="s">
        <v>365</v>
      </c>
      <c r="V152" s="9" t="s">
        <v>264</v>
      </c>
      <c r="W152" s="9" t="s">
        <v>366</v>
      </c>
    </row>
    <row r="153" customFormat="false" ht="15" hidden="false" customHeight="false" outlineLevel="0" collapsed="false">
      <c r="A153" s="9" t="s">
        <v>515</v>
      </c>
      <c r="B153" s="11" t="n">
        <v>46178.4166666667</v>
      </c>
      <c r="C153" s="9" t="s">
        <v>38</v>
      </c>
      <c r="D153" s="9" t="s">
        <v>262</v>
      </c>
      <c r="E153" s="9" t="s">
        <v>270</v>
      </c>
      <c r="F153" s="9" t="s">
        <v>77</v>
      </c>
      <c r="G153" s="9" t="s">
        <v>373</v>
      </c>
      <c r="H153" s="9" t="s">
        <v>261</v>
      </c>
      <c r="I153" s="5" t="n">
        <v>2000</v>
      </c>
      <c r="J153" s="9" t="s">
        <v>156</v>
      </c>
      <c r="K153" s="9" t="s">
        <v>155</v>
      </c>
      <c r="L153" s="9" t="s">
        <v>157</v>
      </c>
      <c r="M153" s="9"/>
      <c r="N153" s="9"/>
      <c r="O153" s="9"/>
      <c r="P153" s="9"/>
      <c r="Q153" s="9"/>
      <c r="R153" s="9"/>
      <c r="S153" s="9"/>
      <c r="T153" s="9"/>
      <c r="U153" s="9" t="s">
        <v>365</v>
      </c>
      <c r="V153" s="9" t="s">
        <v>264</v>
      </c>
      <c r="W153" s="9" t="s">
        <v>366</v>
      </c>
    </row>
    <row r="154" customFormat="false" ht="15" hidden="false" customHeight="false" outlineLevel="0" collapsed="false">
      <c r="A154" s="9" t="s">
        <v>516</v>
      </c>
      <c r="B154" s="11" t="n">
        <v>46192.4166666667</v>
      </c>
      <c r="C154" s="9" t="s">
        <v>38</v>
      </c>
      <c r="D154" s="9" t="s">
        <v>262</v>
      </c>
      <c r="E154" s="9" t="s">
        <v>270</v>
      </c>
      <c r="F154" s="9" t="s">
        <v>78</v>
      </c>
      <c r="G154" s="9" t="s">
        <v>20</v>
      </c>
      <c r="H154" s="9" t="s">
        <v>261</v>
      </c>
      <c r="I154" s="5" t="n">
        <v>2000</v>
      </c>
      <c r="J154" s="9" t="s">
        <v>156</v>
      </c>
      <c r="K154" s="9" t="s">
        <v>155</v>
      </c>
      <c r="L154" s="9" t="s">
        <v>157</v>
      </c>
      <c r="M154" s="9"/>
      <c r="N154" s="9"/>
      <c r="O154" s="9"/>
      <c r="P154" s="9"/>
      <c r="Q154" s="9"/>
      <c r="R154" s="9"/>
      <c r="S154" s="9"/>
      <c r="T154" s="9"/>
      <c r="U154" s="9" t="s">
        <v>365</v>
      </c>
      <c r="V154" s="9" t="s">
        <v>264</v>
      </c>
      <c r="W154" s="9" t="s">
        <v>366</v>
      </c>
    </row>
    <row r="155" customFormat="false" ht="15" hidden="false" customHeight="false" outlineLevel="0" collapsed="false">
      <c r="A155" s="9" t="s">
        <v>517</v>
      </c>
      <c r="B155" s="11" t="n">
        <v>46178.4166666667</v>
      </c>
      <c r="C155" s="9" t="s">
        <v>38</v>
      </c>
      <c r="D155" s="9" t="s">
        <v>262</v>
      </c>
      <c r="E155" s="9" t="s">
        <v>270</v>
      </c>
      <c r="F155" s="9" t="s">
        <v>76</v>
      </c>
      <c r="G155" s="9" t="s">
        <v>373</v>
      </c>
      <c r="H155" s="9" t="s">
        <v>261</v>
      </c>
      <c r="I155" s="5" t="n">
        <v>1000</v>
      </c>
      <c r="J155" s="9" t="s">
        <v>159</v>
      </c>
      <c r="K155" s="9" t="s">
        <v>158</v>
      </c>
      <c r="L155" s="9"/>
      <c r="M155" s="9"/>
      <c r="N155" s="9"/>
      <c r="O155" s="9"/>
      <c r="P155" s="9"/>
      <c r="Q155" s="9"/>
      <c r="R155" s="9"/>
      <c r="S155" s="9"/>
      <c r="T155" s="9"/>
      <c r="U155" s="9" t="s">
        <v>365</v>
      </c>
      <c r="V155" s="9" t="s">
        <v>264</v>
      </c>
      <c r="W155" s="9" t="s">
        <v>366</v>
      </c>
    </row>
    <row r="156" customFormat="false" ht="15" hidden="false" customHeight="false" outlineLevel="0" collapsed="false">
      <c r="A156" s="9" t="s">
        <v>518</v>
      </c>
      <c r="B156" s="11" t="n">
        <v>46178.4166666667</v>
      </c>
      <c r="C156" s="9" t="s">
        <v>38</v>
      </c>
      <c r="D156" s="9" t="s">
        <v>262</v>
      </c>
      <c r="E156" s="9" t="s">
        <v>270</v>
      </c>
      <c r="F156" s="9" t="s">
        <v>77</v>
      </c>
      <c r="G156" s="9" t="s">
        <v>373</v>
      </c>
      <c r="H156" s="9" t="s">
        <v>261</v>
      </c>
      <c r="I156" s="5" t="n">
        <v>2000</v>
      </c>
      <c r="J156" s="9" t="s">
        <v>159</v>
      </c>
      <c r="K156" s="9" t="s">
        <v>158</v>
      </c>
      <c r="L156" s="9"/>
      <c r="M156" s="9"/>
      <c r="N156" s="9"/>
      <c r="O156" s="9"/>
      <c r="P156" s="9"/>
      <c r="Q156" s="9"/>
      <c r="R156" s="9"/>
      <c r="S156" s="9"/>
      <c r="T156" s="9"/>
      <c r="U156" s="9" t="s">
        <v>365</v>
      </c>
      <c r="V156" s="9" t="s">
        <v>264</v>
      </c>
      <c r="W156" s="9" t="s">
        <v>366</v>
      </c>
    </row>
    <row r="157" customFormat="false" ht="15" hidden="false" customHeight="false" outlineLevel="0" collapsed="false">
      <c r="A157" s="9" t="s">
        <v>519</v>
      </c>
      <c r="B157" s="11" t="n">
        <v>46192.4166666667</v>
      </c>
      <c r="C157" s="9" t="s">
        <v>38</v>
      </c>
      <c r="D157" s="9" t="s">
        <v>262</v>
      </c>
      <c r="E157" s="9" t="s">
        <v>270</v>
      </c>
      <c r="F157" s="9" t="s">
        <v>78</v>
      </c>
      <c r="G157" s="9" t="s">
        <v>20</v>
      </c>
      <c r="H157" s="9" t="s">
        <v>261</v>
      </c>
      <c r="I157" s="5" t="n">
        <v>2000</v>
      </c>
      <c r="J157" s="9" t="s">
        <v>159</v>
      </c>
      <c r="K157" s="9" t="s">
        <v>158</v>
      </c>
      <c r="L157" s="9"/>
      <c r="M157" s="9"/>
      <c r="N157" s="9"/>
      <c r="O157" s="9"/>
      <c r="P157" s="9"/>
      <c r="Q157" s="9"/>
      <c r="R157" s="9"/>
      <c r="S157" s="9"/>
      <c r="T157" s="9"/>
      <c r="U157" s="9" t="s">
        <v>365</v>
      </c>
      <c r="V157" s="9" t="s">
        <v>264</v>
      </c>
      <c r="W157" s="9" t="s">
        <v>366</v>
      </c>
    </row>
    <row r="158" customFormat="false" ht="15" hidden="false" customHeight="false" outlineLevel="0" collapsed="false">
      <c r="A158" s="9" t="s">
        <v>520</v>
      </c>
      <c r="B158" s="11" t="n">
        <v>46091</v>
      </c>
      <c r="C158" s="9" t="s">
        <v>38</v>
      </c>
      <c r="D158" s="9" t="s">
        <v>262</v>
      </c>
      <c r="E158" s="9" t="s">
        <v>263</v>
      </c>
      <c r="F158" s="9" t="s">
        <v>65</v>
      </c>
      <c r="G158" s="9" t="s">
        <v>20</v>
      </c>
      <c r="H158" s="9" t="s">
        <v>261</v>
      </c>
      <c r="I158" s="5" t="n">
        <v>3000</v>
      </c>
      <c r="J158" s="9" t="s">
        <v>161</v>
      </c>
      <c r="K158" s="9" t="s">
        <v>160</v>
      </c>
      <c r="L158" s="9" t="s">
        <v>162</v>
      </c>
      <c r="M158" s="9"/>
      <c r="N158" s="9"/>
      <c r="O158" s="9"/>
      <c r="P158" s="9"/>
      <c r="Q158" s="9"/>
      <c r="R158" s="9"/>
      <c r="S158" s="9"/>
      <c r="T158" s="9"/>
      <c r="U158" s="9" t="s">
        <v>365</v>
      </c>
      <c r="V158" s="9" t="s">
        <v>264</v>
      </c>
      <c r="W158" s="9" t="s">
        <v>366</v>
      </c>
    </row>
    <row r="159" customFormat="false" ht="15" hidden="false" customHeight="false" outlineLevel="0" collapsed="false">
      <c r="A159" s="9" t="s">
        <v>521</v>
      </c>
      <c r="B159" s="11" t="n">
        <v>46122</v>
      </c>
      <c r="C159" s="9" t="s">
        <v>38</v>
      </c>
      <c r="D159" s="9" t="s">
        <v>262</v>
      </c>
      <c r="E159" s="9" t="s">
        <v>263</v>
      </c>
      <c r="F159" s="9" t="s">
        <v>66</v>
      </c>
      <c r="G159" s="9" t="s">
        <v>20</v>
      </c>
      <c r="H159" s="9" t="s">
        <v>261</v>
      </c>
      <c r="I159" s="5" t="n">
        <v>3000</v>
      </c>
      <c r="J159" s="9" t="s">
        <v>161</v>
      </c>
      <c r="K159" s="9" t="s">
        <v>160</v>
      </c>
      <c r="L159" s="9" t="s">
        <v>162</v>
      </c>
      <c r="M159" s="9"/>
      <c r="N159" s="9"/>
      <c r="O159" s="9"/>
      <c r="P159" s="9"/>
      <c r="Q159" s="9"/>
      <c r="R159" s="9"/>
      <c r="S159" s="9"/>
      <c r="T159" s="9"/>
      <c r="U159" s="9" t="s">
        <v>365</v>
      </c>
      <c r="V159" s="9" t="s">
        <v>264</v>
      </c>
      <c r="W159" s="9" t="s">
        <v>366</v>
      </c>
    </row>
    <row r="160" customFormat="false" ht="15" hidden="false" customHeight="false" outlineLevel="0" collapsed="false">
      <c r="A160" s="9" t="s">
        <v>522</v>
      </c>
      <c r="B160" s="11" t="n">
        <v>46152</v>
      </c>
      <c r="C160" s="9" t="s">
        <v>38</v>
      </c>
      <c r="D160" s="9" t="s">
        <v>262</v>
      </c>
      <c r="E160" s="9" t="s">
        <v>263</v>
      </c>
      <c r="F160" s="9" t="s">
        <v>67</v>
      </c>
      <c r="G160" s="9" t="s">
        <v>20</v>
      </c>
      <c r="H160" s="9" t="s">
        <v>261</v>
      </c>
      <c r="I160" s="5" t="n">
        <v>3000</v>
      </c>
      <c r="J160" s="9" t="s">
        <v>161</v>
      </c>
      <c r="K160" s="9" t="s">
        <v>160</v>
      </c>
      <c r="L160" s="9" t="s">
        <v>162</v>
      </c>
      <c r="M160" s="9"/>
      <c r="N160" s="9"/>
      <c r="O160" s="9"/>
      <c r="P160" s="9"/>
      <c r="Q160" s="9"/>
      <c r="R160" s="9"/>
      <c r="S160" s="9"/>
      <c r="T160" s="9"/>
      <c r="U160" s="9" t="s">
        <v>365</v>
      </c>
      <c r="V160" s="9" t="s">
        <v>264</v>
      </c>
      <c r="W160" s="9" t="s">
        <v>366</v>
      </c>
    </row>
    <row r="161" customFormat="false" ht="15" hidden="false" customHeight="false" outlineLevel="0" collapsed="false">
      <c r="A161" s="9" t="s">
        <v>523</v>
      </c>
      <c r="B161" s="11" t="n">
        <v>46178.4166666667</v>
      </c>
      <c r="C161" s="9" t="s">
        <v>38</v>
      </c>
      <c r="D161" s="9" t="s">
        <v>262</v>
      </c>
      <c r="E161" s="9" t="s">
        <v>270</v>
      </c>
      <c r="F161" s="9" t="s">
        <v>76</v>
      </c>
      <c r="G161" s="9" t="s">
        <v>20</v>
      </c>
      <c r="H161" s="9" t="s">
        <v>261</v>
      </c>
      <c r="I161" s="5" t="n">
        <v>1000</v>
      </c>
      <c r="J161" s="9" t="s">
        <v>161</v>
      </c>
      <c r="K161" s="9" t="s">
        <v>160</v>
      </c>
      <c r="L161" s="9" t="s">
        <v>162</v>
      </c>
      <c r="M161" s="9"/>
      <c r="N161" s="9"/>
      <c r="O161" s="9"/>
      <c r="P161" s="9"/>
      <c r="Q161" s="9"/>
      <c r="R161" s="9"/>
      <c r="S161" s="9"/>
      <c r="T161" s="9"/>
      <c r="U161" s="9" t="s">
        <v>365</v>
      </c>
      <c r="V161" s="9" t="s">
        <v>264</v>
      </c>
      <c r="W161" s="9" t="s">
        <v>366</v>
      </c>
    </row>
    <row r="162" customFormat="false" ht="15" hidden="false" customHeight="false" outlineLevel="0" collapsed="false">
      <c r="A162" s="9" t="s">
        <v>524</v>
      </c>
      <c r="B162" s="11" t="n">
        <v>46178.4166666667</v>
      </c>
      <c r="C162" s="9" t="s">
        <v>38</v>
      </c>
      <c r="D162" s="9" t="s">
        <v>262</v>
      </c>
      <c r="E162" s="9" t="s">
        <v>270</v>
      </c>
      <c r="F162" s="9" t="s">
        <v>77</v>
      </c>
      <c r="G162" s="9" t="s">
        <v>373</v>
      </c>
      <c r="H162" s="9" t="s">
        <v>261</v>
      </c>
      <c r="I162" s="5" t="n">
        <v>2000</v>
      </c>
      <c r="J162" s="9" t="s">
        <v>161</v>
      </c>
      <c r="K162" s="9" t="s">
        <v>160</v>
      </c>
      <c r="L162" s="9" t="s">
        <v>162</v>
      </c>
      <c r="M162" s="9"/>
      <c r="N162" s="9"/>
      <c r="O162" s="9"/>
      <c r="P162" s="9"/>
      <c r="Q162" s="9"/>
      <c r="R162" s="9"/>
      <c r="S162" s="9"/>
      <c r="T162" s="9"/>
      <c r="U162" s="9" t="s">
        <v>365</v>
      </c>
      <c r="V162" s="9" t="s">
        <v>264</v>
      </c>
      <c r="W162" s="9" t="s">
        <v>366</v>
      </c>
    </row>
    <row r="163" customFormat="false" ht="15" hidden="false" customHeight="false" outlineLevel="0" collapsed="false">
      <c r="A163" s="9" t="s">
        <v>525</v>
      </c>
      <c r="B163" s="11" t="n">
        <v>46192.4166666667</v>
      </c>
      <c r="C163" s="9" t="s">
        <v>38</v>
      </c>
      <c r="D163" s="9" t="s">
        <v>262</v>
      </c>
      <c r="E163" s="9" t="s">
        <v>270</v>
      </c>
      <c r="F163" s="9" t="s">
        <v>78</v>
      </c>
      <c r="G163" s="9" t="s">
        <v>20</v>
      </c>
      <c r="H163" s="9" t="s">
        <v>261</v>
      </c>
      <c r="I163" s="5" t="n">
        <v>2000</v>
      </c>
      <c r="J163" s="9" t="s">
        <v>161</v>
      </c>
      <c r="K163" s="9" t="s">
        <v>160</v>
      </c>
      <c r="L163" s="9" t="s">
        <v>162</v>
      </c>
      <c r="M163" s="9"/>
      <c r="N163" s="9"/>
      <c r="O163" s="9"/>
      <c r="P163" s="9"/>
      <c r="Q163" s="9"/>
      <c r="R163" s="9"/>
      <c r="S163" s="9"/>
      <c r="T163" s="9"/>
      <c r="U163" s="9" t="s">
        <v>365</v>
      </c>
      <c r="V163" s="9" t="s">
        <v>264</v>
      </c>
      <c r="W163" s="9" t="s">
        <v>366</v>
      </c>
    </row>
    <row r="164" customFormat="false" ht="15" hidden="false" customHeight="false" outlineLevel="0" collapsed="false">
      <c r="A164" s="9" t="s">
        <v>526</v>
      </c>
      <c r="B164" s="11" t="n">
        <v>46091</v>
      </c>
      <c r="C164" s="9" t="s">
        <v>38</v>
      </c>
      <c r="D164" s="9" t="s">
        <v>262</v>
      </c>
      <c r="E164" s="9" t="s">
        <v>263</v>
      </c>
      <c r="F164" s="9" t="s">
        <v>65</v>
      </c>
      <c r="G164" s="9" t="s">
        <v>20</v>
      </c>
      <c r="H164" s="9" t="s">
        <v>261</v>
      </c>
      <c r="I164" s="5" t="n">
        <v>3000</v>
      </c>
      <c r="J164" s="9" t="s">
        <v>164</v>
      </c>
      <c r="K164" s="9" t="s">
        <v>163</v>
      </c>
      <c r="L164" s="9" t="s">
        <v>165</v>
      </c>
      <c r="M164" s="9"/>
      <c r="N164" s="9"/>
      <c r="O164" s="9"/>
      <c r="P164" s="9"/>
      <c r="Q164" s="9"/>
      <c r="R164" s="9"/>
      <c r="S164" s="9"/>
      <c r="T164" s="9"/>
      <c r="U164" s="9" t="s">
        <v>365</v>
      </c>
      <c r="V164" s="9" t="s">
        <v>264</v>
      </c>
      <c r="W164" s="9" t="s">
        <v>366</v>
      </c>
    </row>
    <row r="165" customFormat="false" ht="15" hidden="false" customHeight="false" outlineLevel="0" collapsed="false">
      <c r="A165" s="9" t="s">
        <v>527</v>
      </c>
      <c r="B165" s="11" t="n">
        <v>46122</v>
      </c>
      <c r="C165" s="9" t="s">
        <v>38</v>
      </c>
      <c r="D165" s="9" t="s">
        <v>262</v>
      </c>
      <c r="E165" s="9" t="s">
        <v>263</v>
      </c>
      <c r="F165" s="9" t="s">
        <v>66</v>
      </c>
      <c r="G165" s="9" t="s">
        <v>20</v>
      </c>
      <c r="H165" s="9" t="s">
        <v>261</v>
      </c>
      <c r="I165" s="5" t="n">
        <v>3000</v>
      </c>
      <c r="J165" s="9" t="s">
        <v>164</v>
      </c>
      <c r="K165" s="9" t="s">
        <v>163</v>
      </c>
      <c r="L165" s="9" t="s">
        <v>165</v>
      </c>
      <c r="M165" s="9"/>
      <c r="N165" s="9"/>
      <c r="O165" s="9"/>
      <c r="P165" s="9"/>
      <c r="Q165" s="9"/>
      <c r="R165" s="9"/>
      <c r="S165" s="9"/>
      <c r="T165" s="9"/>
      <c r="U165" s="9" t="s">
        <v>365</v>
      </c>
      <c r="V165" s="9" t="s">
        <v>264</v>
      </c>
      <c r="W165" s="9" t="s">
        <v>366</v>
      </c>
    </row>
    <row r="166" customFormat="false" ht="15" hidden="false" customHeight="false" outlineLevel="0" collapsed="false">
      <c r="A166" s="9" t="s">
        <v>528</v>
      </c>
      <c r="B166" s="11" t="n">
        <v>46152</v>
      </c>
      <c r="C166" s="9" t="s">
        <v>38</v>
      </c>
      <c r="D166" s="9" t="s">
        <v>262</v>
      </c>
      <c r="E166" s="9" t="s">
        <v>263</v>
      </c>
      <c r="F166" s="9" t="s">
        <v>67</v>
      </c>
      <c r="G166" s="9" t="s">
        <v>20</v>
      </c>
      <c r="H166" s="9" t="s">
        <v>261</v>
      </c>
      <c r="I166" s="5" t="n">
        <v>3000</v>
      </c>
      <c r="J166" s="9" t="s">
        <v>164</v>
      </c>
      <c r="K166" s="9" t="s">
        <v>163</v>
      </c>
      <c r="L166" s="9" t="s">
        <v>165</v>
      </c>
      <c r="M166" s="9"/>
      <c r="N166" s="9"/>
      <c r="O166" s="9"/>
      <c r="P166" s="9"/>
      <c r="Q166" s="9"/>
      <c r="R166" s="9"/>
      <c r="S166" s="9"/>
      <c r="T166" s="9"/>
      <c r="U166" s="9" t="s">
        <v>365</v>
      </c>
      <c r="V166" s="9" t="s">
        <v>264</v>
      </c>
      <c r="W166" s="9" t="s">
        <v>366</v>
      </c>
    </row>
    <row r="167" customFormat="false" ht="15" hidden="false" customHeight="false" outlineLevel="0" collapsed="false">
      <c r="A167" s="9" t="s">
        <v>529</v>
      </c>
      <c r="B167" s="11" t="n">
        <v>46192</v>
      </c>
      <c r="C167" s="9" t="s">
        <v>38</v>
      </c>
      <c r="D167" s="9" t="s">
        <v>262</v>
      </c>
      <c r="E167" s="9" t="s">
        <v>263</v>
      </c>
      <c r="F167" s="9" t="s">
        <v>68</v>
      </c>
      <c r="G167" s="9" t="s">
        <v>20</v>
      </c>
      <c r="H167" s="9" t="s">
        <v>261</v>
      </c>
      <c r="I167" s="5" t="n">
        <v>3000</v>
      </c>
      <c r="J167" s="9" t="s">
        <v>164</v>
      </c>
      <c r="K167" s="9" t="s">
        <v>163</v>
      </c>
      <c r="L167" s="9" t="s">
        <v>165</v>
      </c>
      <c r="M167" s="9"/>
      <c r="N167" s="9"/>
      <c r="O167" s="9"/>
      <c r="P167" s="9"/>
      <c r="Q167" s="9"/>
      <c r="R167" s="9"/>
      <c r="S167" s="9"/>
      <c r="T167" s="9"/>
      <c r="U167" s="9" t="s">
        <v>365</v>
      </c>
      <c r="V167" s="9" t="s">
        <v>264</v>
      </c>
      <c r="W167" s="9" t="s">
        <v>366</v>
      </c>
    </row>
    <row r="168" customFormat="false" ht="15" hidden="false" customHeight="false" outlineLevel="0" collapsed="false">
      <c r="A168" s="9" t="s">
        <v>530</v>
      </c>
      <c r="B168" s="11" t="n">
        <v>46213</v>
      </c>
      <c r="C168" s="9" t="s">
        <v>38</v>
      </c>
      <c r="D168" s="9" t="s">
        <v>262</v>
      </c>
      <c r="E168" s="9" t="s">
        <v>263</v>
      </c>
      <c r="F168" s="9" t="s">
        <v>69</v>
      </c>
      <c r="G168" s="9" t="s">
        <v>20</v>
      </c>
      <c r="H168" s="9" t="s">
        <v>261</v>
      </c>
      <c r="I168" s="5" t="n">
        <v>3000</v>
      </c>
      <c r="J168" s="9" t="s">
        <v>164</v>
      </c>
      <c r="K168" s="9" t="s">
        <v>163</v>
      </c>
      <c r="L168" s="9" t="s">
        <v>165</v>
      </c>
      <c r="M168" s="9"/>
      <c r="N168" s="9"/>
      <c r="O168" s="9"/>
      <c r="P168" s="9"/>
      <c r="Q168" s="9"/>
      <c r="R168" s="9"/>
      <c r="S168" s="9"/>
      <c r="T168" s="9"/>
      <c r="U168" s="9" t="s">
        <v>365</v>
      </c>
      <c r="V168" s="9" t="s">
        <v>264</v>
      </c>
      <c r="W168" s="9" t="s">
        <v>366</v>
      </c>
    </row>
    <row r="169" customFormat="false" ht="15" hidden="false" customHeight="false" outlineLevel="0" collapsed="false">
      <c r="A169" s="9" t="s">
        <v>531</v>
      </c>
      <c r="B169" s="11" t="n">
        <v>46178.4166666667</v>
      </c>
      <c r="C169" s="9" t="s">
        <v>38</v>
      </c>
      <c r="D169" s="9" t="s">
        <v>262</v>
      </c>
      <c r="E169" s="9" t="s">
        <v>270</v>
      </c>
      <c r="F169" s="9" t="s">
        <v>76</v>
      </c>
      <c r="G169" s="9" t="s">
        <v>20</v>
      </c>
      <c r="H169" s="9" t="s">
        <v>261</v>
      </c>
      <c r="I169" s="5" t="n">
        <v>1000</v>
      </c>
      <c r="J169" s="9" t="s">
        <v>164</v>
      </c>
      <c r="K169" s="9" t="s">
        <v>163</v>
      </c>
      <c r="L169" s="9" t="s">
        <v>165</v>
      </c>
      <c r="M169" s="9"/>
      <c r="N169" s="9"/>
      <c r="O169" s="9"/>
      <c r="P169" s="9"/>
      <c r="Q169" s="9"/>
      <c r="R169" s="9"/>
      <c r="S169" s="9"/>
      <c r="T169" s="9"/>
      <c r="U169" s="9" t="s">
        <v>365</v>
      </c>
      <c r="V169" s="9" t="s">
        <v>264</v>
      </c>
      <c r="W169" s="9" t="s">
        <v>366</v>
      </c>
    </row>
    <row r="170" customFormat="false" ht="15" hidden="false" customHeight="false" outlineLevel="0" collapsed="false">
      <c r="A170" s="9" t="s">
        <v>532</v>
      </c>
      <c r="B170" s="11" t="n">
        <v>46178.4166666667</v>
      </c>
      <c r="C170" s="9" t="s">
        <v>38</v>
      </c>
      <c r="D170" s="9" t="s">
        <v>262</v>
      </c>
      <c r="E170" s="9" t="s">
        <v>270</v>
      </c>
      <c r="F170" s="9" t="s">
        <v>77</v>
      </c>
      <c r="G170" s="9" t="s">
        <v>20</v>
      </c>
      <c r="H170" s="9" t="s">
        <v>261</v>
      </c>
      <c r="I170" s="5" t="n">
        <v>2000</v>
      </c>
      <c r="J170" s="9" t="s">
        <v>164</v>
      </c>
      <c r="K170" s="9" t="s">
        <v>163</v>
      </c>
      <c r="L170" s="9" t="s">
        <v>165</v>
      </c>
      <c r="M170" s="9"/>
      <c r="N170" s="9"/>
      <c r="O170" s="9"/>
      <c r="P170" s="9"/>
      <c r="Q170" s="9"/>
      <c r="R170" s="9"/>
      <c r="S170" s="9"/>
      <c r="T170" s="9"/>
      <c r="U170" s="9" t="s">
        <v>365</v>
      </c>
      <c r="V170" s="9" t="s">
        <v>264</v>
      </c>
      <c r="W170" s="9" t="s">
        <v>366</v>
      </c>
    </row>
    <row r="171" customFormat="false" ht="15" hidden="false" customHeight="false" outlineLevel="0" collapsed="false">
      <c r="A171" s="9" t="s">
        <v>533</v>
      </c>
      <c r="B171" s="11" t="n">
        <v>46192.4166666667</v>
      </c>
      <c r="C171" s="9" t="s">
        <v>38</v>
      </c>
      <c r="D171" s="9" t="s">
        <v>262</v>
      </c>
      <c r="E171" s="9" t="s">
        <v>270</v>
      </c>
      <c r="F171" s="9" t="s">
        <v>78</v>
      </c>
      <c r="G171" s="9" t="s">
        <v>20</v>
      </c>
      <c r="H171" s="9" t="s">
        <v>261</v>
      </c>
      <c r="I171" s="5" t="n">
        <v>2000</v>
      </c>
      <c r="J171" s="9" t="s">
        <v>164</v>
      </c>
      <c r="K171" s="9" t="s">
        <v>163</v>
      </c>
      <c r="L171" s="9" t="s">
        <v>165</v>
      </c>
      <c r="M171" s="9"/>
      <c r="N171" s="9"/>
      <c r="O171" s="9"/>
      <c r="P171" s="9"/>
      <c r="Q171" s="9"/>
      <c r="R171" s="9"/>
      <c r="S171" s="9"/>
      <c r="T171" s="9"/>
      <c r="U171" s="9" t="s">
        <v>365</v>
      </c>
      <c r="V171" s="9" t="s">
        <v>264</v>
      </c>
      <c r="W171" s="9" t="s">
        <v>366</v>
      </c>
    </row>
    <row r="172" customFormat="false" ht="15" hidden="false" customHeight="false" outlineLevel="0" collapsed="false">
      <c r="A172" s="9" t="s">
        <v>534</v>
      </c>
      <c r="B172" s="11" t="n">
        <v>46091</v>
      </c>
      <c r="C172" s="9" t="s">
        <v>38</v>
      </c>
      <c r="D172" s="9" t="s">
        <v>262</v>
      </c>
      <c r="E172" s="9" t="s">
        <v>263</v>
      </c>
      <c r="F172" s="9" t="s">
        <v>65</v>
      </c>
      <c r="G172" s="9" t="s">
        <v>20</v>
      </c>
      <c r="H172" s="9" t="s">
        <v>261</v>
      </c>
      <c r="I172" s="5" t="n">
        <v>3000</v>
      </c>
      <c r="J172" s="9" t="s">
        <v>168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 t="s">
        <v>365</v>
      </c>
      <c r="V172" s="9" t="s">
        <v>264</v>
      </c>
      <c r="W172" s="9" t="s">
        <v>366</v>
      </c>
    </row>
    <row r="173" customFormat="false" ht="15" hidden="false" customHeight="false" outlineLevel="0" collapsed="false">
      <c r="A173" s="9" t="s">
        <v>535</v>
      </c>
      <c r="B173" s="11" t="n">
        <v>46122</v>
      </c>
      <c r="C173" s="9" t="s">
        <v>38</v>
      </c>
      <c r="D173" s="9" t="s">
        <v>262</v>
      </c>
      <c r="E173" s="9" t="s">
        <v>263</v>
      </c>
      <c r="F173" s="9" t="s">
        <v>66</v>
      </c>
      <c r="G173" s="9" t="s">
        <v>20</v>
      </c>
      <c r="H173" s="9" t="s">
        <v>261</v>
      </c>
      <c r="I173" s="5" t="n">
        <v>3000</v>
      </c>
      <c r="J173" s="9" t="s">
        <v>168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 t="s">
        <v>365</v>
      </c>
      <c r="V173" s="9" t="s">
        <v>264</v>
      </c>
      <c r="W173" s="9" t="s">
        <v>366</v>
      </c>
    </row>
    <row r="174" customFormat="false" ht="15" hidden="false" customHeight="false" outlineLevel="0" collapsed="false">
      <c r="A174" s="9" t="s">
        <v>536</v>
      </c>
      <c r="B174" s="11" t="n">
        <v>46152</v>
      </c>
      <c r="C174" s="9" t="s">
        <v>38</v>
      </c>
      <c r="D174" s="9" t="s">
        <v>262</v>
      </c>
      <c r="E174" s="9" t="s">
        <v>263</v>
      </c>
      <c r="F174" s="9" t="s">
        <v>67</v>
      </c>
      <c r="G174" s="9" t="s">
        <v>20</v>
      </c>
      <c r="H174" s="9" t="s">
        <v>261</v>
      </c>
      <c r="I174" s="5" t="n">
        <v>3000</v>
      </c>
      <c r="J174" s="9" t="s">
        <v>168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 t="s">
        <v>365</v>
      </c>
      <c r="V174" s="9" t="s">
        <v>264</v>
      </c>
      <c r="W174" s="9" t="s">
        <v>366</v>
      </c>
    </row>
    <row r="175" customFormat="false" ht="15" hidden="false" customHeight="false" outlineLevel="0" collapsed="false">
      <c r="A175" s="9" t="s">
        <v>537</v>
      </c>
      <c r="B175" s="11" t="n">
        <v>46192</v>
      </c>
      <c r="C175" s="9" t="s">
        <v>38</v>
      </c>
      <c r="D175" s="9" t="s">
        <v>262</v>
      </c>
      <c r="E175" s="9" t="s">
        <v>263</v>
      </c>
      <c r="F175" s="9" t="s">
        <v>68</v>
      </c>
      <c r="G175" s="9" t="s">
        <v>20</v>
      </c>
      <c r="H175" s="9" t="s">
        <v>261</v>
      </c>
      <c r="I175" s="5" t="n">
        <v>3000</v>
      </c>
      <c r="J175" s="9" t="s">
        <v>168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 t="s">
        <v>365</v>
      </c>
      <c r="V175" s="9" t="s">
        <v>264</v>
      </c>
      <c r="W175" s="9" t="s">
        <v>366</v>
      </c>
    </row>
    <row r="176" customFormat="false" ht="15" hidden="false" customHeight="false" outlineLevel="0" collapsed="false">
      <c r="A176" s="9" t="s">
        <v>538</v>
      </c>
      <c r="B176" s="11" t="n">
        <v>46178.4166666667</v>
      </c>
      <c r="C176" s="9" t="s">
        <v>38</v>
      </c>
      <c r="D176" s="9" t="s">
        <v>262</v>
      </c>
      <c r="E176" s="9" t="s">
        <v>270</v>
      </c>
      <c r="F176" s="9" t="s">
        <v>76</v>
      </c>
      <c r="G176" s="9" t="s">
        <v>20</v>
      </c>
      <c r="H176" s="9" t="s">
        <v>261</v>
      </c>
      <c r="I176" s="5" t="n">
        <v>1000</v>
      </c>
      <c r="J176" s="9" t="s">
        <v>168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 t="s">
        <v>365</v>
      </c>
      <c r="V176" s="9" t="s">
        <v>264</v>
      </c>
      <c r="W176" s="9" t="s">
        <v>366</v>
      </c>
    </row>
    <row r="177" customFormat="false" ht="15" hidden="false" customHeight="false" outlineLevel="0" collapsed="false">
      <c r="A177" s="9" t="s">
        <v>539</v>
      </c>
      <c r="B177" s="11" t="n">
        <v>46178.4166666667</v>
      </c>
      <c r="C177" s="9" t="s">
        <v>38</v>
      </c>
      <c r="D177" s="9" t="s">
        <v>262</v>
      </c>
      <c r="E177" s="9" t="s">
        <v>270</v>
      </c>
      <c r="F177" s="9" t="s">
        <v>77</v>
      </c>
      <c r="G177" s="9" t="s">
        <v>20</v>
      </c>
      <c r="H177" s="9" t="s">
        <v>261</v>
      </c>
      <c r="I177" s="5" t="n">
        <v>2000</v>
      </c>
      <c r="J177" s="9" t="s">
        <v>168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 t="s">
        <v>365</v>
      </c>
      <c r="V177" s="9" t="s">
        <v>264</v>
      </c>
      <c r="W177" s="9" t="s">
        <v>366</v>
      </c>
    </row>
    <row r="178" customFormat="false" ht="15" hidden="false" customHeight="false" outlineLevel="0" collapsed="false">
      <c r="A178" s="9" t="s">
        <v>540</v>
      </c>
      <c r="B178" s="11" t="n">
        <v>46192.4166666667</v>
      </c>
      <c r="C178" s="9" t="s">
        <v>38</v>
      </c>
      <c r="D178" s="9" t="s">
        <v>262</v>
      </c>
      <c r="E178" s="9" t="s">
        <v>270</v>
      </c>
      <c r="F178" s="9" t="s">
        <v>78</v>
      </c>
      <c r="G178" s="9" t="s">
        <v>20</v>
      </c>
      <c r="H178" s="9" t="s">
        <v>261</v>
      </c>
      <c r="I178" s="5" t="n">
        <v>2000</v>
      </c>
      <c r="J178" s="9" t="s">
        <v>168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 t="s">
        <v>365</v>
      </c>
      <c r="V178" s="9" t="s">
        <v>264</v>
      </c>
      <c r="W178" s="9" t="s">
        <v>366</v>
      </c>
    </row>
    <row r="179" customFormat="false" ht="15" hidden="false" customHeight="false" outlineLevel="0" collapsed="false">
      <c r="A179" s="9" t="s">
        <v>541</v>
      </c>
      <c r="B179" s="11" t="n">
        <v>46091</v>
      </c>
      <c r="C179" s="9" t="s">
        <v>38</v>
      </c>
      <c r="D179" s="9" t="s">
        <v>262</v>
      </c>
      <c r="E179" s="9" t="s">
        <v>263</v>
      </c>
      <c r="F179" s="9" t="s">
        <v>65</v>
      </c>
      <c r="G179" s="9" t="s">
        <v>20</v>
      </c>
      <c r="H179" s="9" t="s">
        <v>261</v>
      </c>
      <c r="I179" s="5" t="n">
        <v>3000</v>
      </c>
      <c r="J179" s="9" t="s">
        <v>169</v>
      </c>
      <c r="K179" s="9"/>
      <c r="L179" s="9" t="s">
        <v>170</v>
      </c>
      <c r="M179" s="9"/>
      <c r="N179" s="9"/>
      <c r="O179" s="9"/>
      <c r="P179" s="9"/>
      <c r="Q179" s="9"/>
      <c r="R179" s="9"/>
      <c r="S179" s="9"/>
      <c r="T179" s="9"/>
      <c r="U179" s="9" t="s">
        <v>365</v>
      </c>
      <c r="V179" s="9" t="s">
        <v>264</v>
      </c>
      <c r="W179" s="9" t="s">
        <v>366</v>
      </c>
    </row>
    <row r="180" customFormat="false" ht="15" hidden="false" customHeight="false" outlineLevel="0" collapsed="false">
      <c r="A180" s="9" t="s">
        <v>542</v>
      </c>
      <c r="B180" s="11" t="n">
        <v>46122</v>
      </c>
      <c r="C180" s="9" t="s">
        <v>38</v>
      </c>
      <c r="D180" s="9" t="s">
        <v>262</v>
      </c>
      <c r="E180" s="9" t="s">
        <v>263</v>
      </c>
      <c r="F180" s="9" t="s">
        <v>66</v>
      </c>
      <c r="G180" s="9" t="s">
        <v>20</v>
      </c>
      <c r="H180" s="9" t="s">
        <v>261</v>
      </c>
      <c r="I180" s="5" t="n">
        <v>3000</v>
      </c>
      <c r="J180" s="9" t="s">
        <v>169</v>
      </c>
      <c r="K180" s="9"/>
      <c r="L180" s="9" t="s">
        <v>170</v>
      </c>
      <c r="M180" s="9"/>
      <c r="N180" s="9"/>
      <c r="O180" s="9"/>
      <c r="P180" s="9"/>
      <c r="Q180" s="9"/>
      <c r="R180" s="9"/>
      <c r="S180" s="9"/>
      <c r="T180" s="9"/>
      <c r="U180" s="9" t="s">
        <v>365</v>
      </c>
      <c r="V180" s="9" t="s">
        <v>264</v>
      </c>
      <c r="W180" s="9" t="s">
        <v>366</v>
      </c>
    </row>
    <row r="181" customFormat="false" ht="15" hidden="false" customHeight="false" outlineLevel="0" collapsed="false">
      <c r="A181" s="9" t="s">
        <v>543</v>
      </c>
      <c r="B181" s="11" t="n">
        <v>46152</v>
      </c>
      <c r="C181" s="9" t="s">
        <v>38</v>
      </c>
      <c r="D181" s="9" t="s">
        <v>262</v>
      </c>
      <c r="E181" s="9" t="s">
        <v>263</v>
      </c>
      <c r="F181" s="9" t="s">
        <v>67</v>
      </c>
      <c r="G181" s="9" t="s">
        <v>20</v>
      </c>
      <c r="H181" s="9" t="s">
        <v>261</v>
      </c>
      <c r="I181" s="5" t="n">
        <v>3000</v>
      </c>
      <c r="J181" s="9" t="s">
        <v>169</v>
      </c>
      <c r="K181" s="9"/>
      <c r="L181" s="9" t="s">
        <v>170</v>
      </c>
      <c r="M181" s="9"/>
      <c r="N181" s="9"/>
      <c r="O181" s="9"/>
      <c r="P181" s="9"/>
      <c r="Q181" s="9"/>
      <c r="R181" s="9"/>
      <c r="S181" s="9"/>
      <c r="T181" s="9"/>
      <c r="U181" s="9" t="s">
        <v>365</v>
      </c>
      <c r="V181" s="9" t="s">
        <v>264</v>
      </c>
      <c r="W181" s="9" t="s">
        <v>366</v>
      </c>
    </row>
    <row r="182" customFormat="false" ht="15" hidden="false" customHeight="false" outlineLevel="0" collapsed="false">
      <c r="A182" s="9" t="s">
        <v>544</v>
      </c>
      <c r="B182" s="11" t="n">
        <v>46192</v>
      </c>
      <c r="C182" s="9" t="s">
        <v>38</v>
      </c>
      <c r="D182" s="9" t="s">
        <v>262</v>
      </c>
      <c r="E182" s="9" t="s">
        <v>263</v>
      </c>
      <c r="F182" s="9" t="s">
        <v>68</v>
      </c>
      <c r="G182" s="9" t="s">
        <v>20</v>
      </c>
      <c r="H182" s="9" t="s">
        <v>261</v>
      </c>
      <c r="I182" s="5" t="n">
        <v>3000</v>
      </c>
      <c r="J182" s="9" t="s">
        <v>169</v>
      </c>
      <c r="K182" s="9"/>
      <c r="L182" s="9" t="s">
        <v>170</v>
      </c>
      <c r="M182" s="9"/>
      <c r="N182" s="9"/>
      <c r="O182" s="9"/>
      <c r="P182" s="9"/>
      <c r="Q182" s="9"/>
      <c r="R182" s="9"/>
      <c r="S182" s="9"/>
      <c r="T182" s="9"/>
      <c r="U182" s="9" t="s">
        <v>365</v>
      </c>
      <c r="V182" s="9" t="s">
        <v>264</v>
      </c>
      <c r="W182" s="9" t="s">
        <v>366</v>
      </c>
    </row>
    <row r="183" customFormat="false" ht="15" hidden="false" customHeight="false" outlineLevel="0" collapsed="false">
      <c r="A183" s="9" t="s">
        <v>545</v>
      </c>
      <c r="B183" s="11" t="n">
        <v>46178.4166666667</v>
      </c>
      <c r="C183" s="9" t="s">
        <v>38</v>
      </c>
      <c r="D183" s="9" t="s">
        <v>262</v>
      </c>
      <c r="E183" s="9" t="s">
        <v>270</v>
      </c>
      <c r="F183" s="9" t="s">
        <v>76</v>
      </c>
      <c r="G183" s="9" t="s">
        <v>20</v>
      </c>
      <c r="H183" s="9" t="s">
        <v>261</v>
      </c>
      <c r="I183" s="5" t="n">
        <v>1000</v>
      </c>
      <c r="J183" s="9" t="s">
        <v>169</v>
      </c>
      <c r="K183" s="9"/>
      <c r="L183" s="9" t="s">
        <v>170</v>
      </c>
      <c r="M183" s="9"/>
      <c r="N183" s="9"/>
      <c r="O183" s="9"/>
      <c r="P183" s="9"/>
      <c r="Q183" s="9"/>
      <c r="R183" s="9"/>
      <c r="S183" s="9"/>
      <c r="T183" s="9"/>
      <c r="U183" s="9" t="s">
        <v>365</v>
      </c>
      <c r="V183" s="9" t="s">
        <v>264</v>
      </c>
      <c r="W183" s="9" t="s">
        <v>366</v>
      </c>
    </row>
    <row r="184" customFormat="false" ht="15" hidden="false" customHeight="false" outlineLevel="0" collapsed="false">
      <c r="A184" s="9" t="s">
        <v>546</v>
      </c>
      <c r="B184" s="11" t="n">
        <v>46178.4166666667</v>
      </c>
      <c r="C184" s="9" t="s">
        <v>38</v>
      </c>
      <c r="D184" s="9" t="s">
        <v>262</v>
      </c>
      <c r="E184" s="9" t="s">
        <v>270</v>
      </c>
      <c r="F184" s="9" t="s">
        <v>77</v>
      </c>
      <c r="G184" s="9" t="s">
        <v>20</v>
      </c>
      <c r="H184" s="9" t="s">
        <v>261</v>
      </c>
      <c r="I184" s="5" t="n">
        <v>2000</v>
      </c>
      <c r="J184" s="9" t="s">
        <v>169</v>
      </c>
      <c r="K184" s="9"/>
      <c r="L184" s="9" t="s">
        <v>170</v>
      </c>
      <c r="M184" s="9"/>
      <c r="N184" s="9"/>
      <c r="O184" s="9"/>
      <c r="P184" s="9"/>
      <c r="Q184" s="9"/>
      <c r="R184" s="9"/>
      <c r="S184" s="9"/>
      <c r="T184" s="9"/>
      <c r="U184" s="9" t="s">
        <v>365</v>
      </c>
      <c r="V184" s="9" t="s">
        <v>264</v>
      </c>
      <c r="W184" s="9" t="s">
        <v>366</v>
      </c>
    </row>
    <row r="185" customFormat="false" ht="15" hidden="false" customHeight="false" outlineLevel="0" collapsed="false">
      <c r="A185" s="9" t="s">
        <v>547</v>
      </c>
      <c r="B185" s="11" t="n">
        <v>46178.4166666667</v>
      </c>
      <c r="C185" s="9" t="s">
        <v>38</v>
      </c>
      <c r="D185" s="9" t="s">
        <v>262</v>
      </c>
      <c r="E185" s="9" t="s">
        <v>270</v>
      </c>
      <c r="F185" s="9" t="s">
        <v>81</v>
      </c>
      <c r="G185" s="9" t="s">
        <v>20</v>
      </c>
      <c r="H185" s="9" t="s">
        <v>261</v>
      </c>
      <c r="I185" s="5" t="n">
        <v>1000</v>
      </c>
      <c r="J185" s="9" t="s">
        <v>169</v>
      </c>
      <c r="K185" s="9"/>
      <c r="L185" s="9" t="s">
        <v>170</v>
      </c>
      <c r="M185" s="9"/>
      <c r="N185" s="9"/>
      <c r="O185" s="9"/>
      <c r="P185" s="9"/>
      <c r="Q185" s="9"/>
      <c r="R185" s="9"/>
      <c r="S185" s="9"/>
      <c r="T185" s="9"/>
      <c r="U185" s="9" t="s">
        <v>365</v>
      </c>
      <c r="V185" s="9" t="s">
        <v>264</v>
      </c>
      <c r="W185" s="9" t="s">
        <v>366</v>
      </c>
    </row>
    <row r="186" customFormat="false" ht="15" hidden="false" customHeight="false" outlineLevel="0" collapsed="false">
      <c r="A186" s="9" t="s">
        <v>548</v>
      </c>
      <c r="B186" s="11" t="n">
        <v>46178.4166666667</v>
      </c>
      <c r="C186" s="9" t="s">
        <v>38</v>
      </c>
      <c r="D186" s="9" t="s">
        <v>262</v>
      </c>
      <c r="E186" s="9" t="s">
        <v>270</v>
      </c>
      <c r="F186" s="9" t="s">
        <v>76</v>
      </c>
      <c r="G186" s="9" t="s">
        <v>20</v>
      </c>
      <c r="H186" s="9" t="s">
        <v>261</v>
      </c>
      <c r="I186" s="5" t="n">
        <v>1000</v>
      </c>
      <c r="J186" s="9" t="s">
        <v>171</v>
      </c>
      <c r="K186" s="9"/>
      <c r="L186" s="9" t="s">
        <v>172</v>
      </c>
      <c r="M186" s="9"/>
      <c r="N186" s="9"/>
      <c r="O186" s="9"/>
      <c r="P186" s="9"/>
      <c r="Q186" s="9"/>
      <c r="R186" s="9"/>
      <c r="S186" s="9"/>
      <c r="T186" s="9"/>
      <c r="U186" s="9" t="s">
        <v>365</v>
      </c>
      <c r="V186" s="9" t="s">
        <v>264</v>
      </c>
      <c r="W186" s="9" t="s">
        <v>366</v>
      </c>
    </row>
    <row r="187" customFormat="false" ht="15" hidden="false" customHeight="false" outlineLevel="0" collapsed="false">
      <c r="A187" s="9" t="s">
        <v>549</v>
      </c>
      <c r="B187" s="11" t="n">
        <v>46178.4166666667</v>
      </c>
      <c r="C187" s="9" t="s">
        <v>38</v>
      </c>
      <c r="D187" s="9" t="s">
        <v>262</v>
      </c>
      <c r="E187" s="9" t="s">
        <v>270</v>
      </c>
      <c r="F187" s="9" t="s">
        <v>77</v>
      </c>
      <c r="G187" s="9" t="s">
        <v>20</v>
      </c>
      <c r="H187" s="9" t="s">
        <v>261</v>
      </c>
      <c r="I187" s="5" t="n">
        <v>2000</v>
      </c>
      <c r="J187" s="9" t="s">
        <v>171</v>
      </c>
      <c r="K187" s="9"/>
      <c r="L187" s="9" t="s">
        <v>172</v>
      </c>
      <c r="M187" s="9"/>
      <c r="N187" s="9"/>
      <c r="O187" s="9"/>
      <c r="P187" s="9"/>
      <c r="Q187" s="9"/>
      <c r="R187" s="9"/>
      <c r="S187" s="9"/>
      <c r="T187" s="9"/>
      <c r="U187" s="9" t="s">
        <v>365</v>
      </c>
      <c r="V187" s="9" t="s">
        <v>264</v>
      </c>
      <c r="W187" s="9" t="s">
        <v>366</v>
      </c>
    </row>
    <row r="188" customFormat="false" ht="15" hidden="false" customHeight="false" outlineLevel="0" collapsed="false">
      <c r="A188" s="9" t="s">
        <v>550</v>
      </c>
      <c r="B188" s="11" t="n">
        <v>46192.4166666667</v>
      </c>
      <c r="C188" s="9" t="s">
        <v>38</v>
      </c>
      <c r="D188" s="9" t="s">
        <v>262</v>
      </c>
      <c r="E188" s="9" t="s">
        <v>270</v>
      </c>
      <c r="F188" s="9" t="s">
        <v>78</v>
      </c>
      <c r="G188" s="9" t="s">
        <v>20</v>
      </c>
      <c r="H188" s="9" t="s">
        <v>261</v>
      </c>
      <c r="I188" s="5" t="n">
        <v>2000</v>
      </c>
      <c r="J188" s="9" t="s">
        <v>171</v>
      </c>
      <c r="K188" s="9"/>
      <c r="L188" s="9" t="s">
        <v>172</v>
      </c>
      <c r="M188" s="9"/>
      <c r="N188" s="9"/>
      <c r="O188" s="9"/>
      <c r="P188" s="9"/>
      <c r="Q188" s="9"/>
      <c r="R188" s="9"/>
      <c r="S188" s="9"/>
      <c r="T188" s="9"/>
      <c r="U188" s="9" t="s">
        <v>365</v>
      </c>
      <c r="V188" s="9" t="s">
        <v>264</v>
      </c>
      <c r="W188" s="9" t="s">
        <v>366</v>
      </c>
    </row>
    <row r="189" customFormat="false" ht="15" hidden="false" customHeight="false" outlineLevel="0" collapsed="false">
      <c r="A189" s="9" t="s">
        <v>551</v>
      </c>
      <c r="B189" s="11" t="n">
        <v>46178.4166666667</v>
      </c>
      <c r="C189" s="9" t="s">
        <v>38</v>
      </c>
      <c r="D189" s="9" t="s">
        <v>262</v>
      </c>
      <c r="E189" s="9" t="s">
        <v>270</v>
      </c>
      <c r="F189" s="9" t="s">
        <v>81</v>
      </c>
      <c r="G189" s="9" t="s">
        <v>20</v>
      </c>
      <c r="H189" s="9" t="s">
        <v>261</v>
      </c>
      <c r="I189" s="5" t="n">
        <v>1500</v>
      </c>
      <c r="J189" s="9" t="s">
        <v>171</v>
      </c>
      <c r="K189" s="9"/>
      <c r="L189" s="9" t="s">
        <v>172</v>
      </c>
      <c r="M189" s="9"/>
      <c r="N189" s="9"/>
      <c r="O189" s="9"/>
      <c r="P189" s="9"/>
      <c r="Q189" s="9"/>
      <c r="R189" s="9"/>
      <c r="S189" s="9"/>
      <c r="T189" s="9"/>
      <c r="U189" s="9" t="s">
        <v>365</v>
      </c>
      <c r="V189" s="9" t="s">
        <v>264</v>
      </c>
      <c r="W189" s="9" t="s">
        <v>366</v>
      </c>
    </row>
    <row r="190" customFormat="false" ht="15" hidden="false" customHeight="false" outlineLevel="0" collapsed="false">
      <c r="A190" s="9" t="s">
        <v>552</v>
      </c>
      <c r="B190" s="11" t="n">
        <v>46178.4166666667</v>
      </c>
      <c r="C190" s="9" t="s">
        <v>38</v>
      </c>
      <c r="D190" s="9" t="s">
        <v>262</v>
      </c>
      <c r="E190" s="9" t="s">
        <v>270</v>
      </c>
      <c r="F190" s="9" t="s">
        <v>77</v>
      </c>
      <c r="G190" s="9" t="s">
        <v>20</v>
      </c>
      <c r="H190" s="9" t="s">
        <v>261</v>
      </c>
      <c r="I190" s="5" t="n">
        <v>2000</v>
      </c>
      <c r="J190" s="9" t="s">
        <v>173</v>
      </c>
      <c r="K190" s="9"/>
      <c r="L190" s="9" t="s">
        <v>174</v>
      </c>
      <c r="M190" s="9"/>
      <c r="N190" s="9"/>
      <c r="O190" s="9"/>
      <c r="P190" s="9"/>
      <c r="Q190" s="9"/>
      <c r="R190" s="9"/>
      <c r="S190" s="9"/>
      <c r="T190" s="9"/>
      <c r="U190" s="9" t="s">
        <v>365</v>
      </c>
      <c r="V190" s="9" t="s">
        <v>264</v>
      </c>
      <c r="W190" s="9" t="s">
        <v>366</v>
      </c>
    </row>
    <row r="191" customFormat="false" ht="15" hidden="false" customHeight="false" outlineLevel="0" collapsed="false">
      <c r="A191" s="9" t="s">
        <v>553</v>
      </c>
      <c r="B191" s="11" t="n">
        <v>46192.4166666667</v>
      </c>
      <c r="C191" s="9" t="s">
        <v>38</v>
      </c>
      <c r="D191" s="9" t="s">
        <v>262</v>
      </c>
      <c r="E191" s="9" t="s">
        <v>270</v>
      </c>
      <c r="F191" s="9" t="s">
        <v>78</v>
      </c>
      <c r="G191" s="9" t="s">
        <v>20</v>
      </c>
      <c r="H191" s="9" t="s">
        <v>261</v>
      </c>
      <c r="I191" s="5" t="n">
        <v>2000</v>
      </c>
      <c r="J191" s="9" t="s">
        <v>173</v>
      </c>
      <c r="K191" s="9"/>
      <c r="L191" s="9" t="s">
        <v>174</v>
      </c>
      <c r="M191" s="9"/>
      <c r="N191" s="9"/>
      <c r="O191" s="9"/>
      <c r="P191" s="9"/>
      <c r="Q191" s="9"/>
      <c r="R191" s="9"/>
      <c r="S191" s="9"/>
      <c r="T191" s="9"/>
      <c r="U191" s="9" t="s">
        <v>365</v>
      </c>
      <c r="V191" s="9" t="s">
        <v>264</v>
      </c>
      <c r="W191" s="9" t="s">
        <v>366</v>
      </c>
    </row>
    <row r="192" customFormat="false" ht="15" hidden="false" customHeight="false" outlineLevel="0" collapsed="false">
      <c r="A192" s="9" t="s">
        <v>554</v>
      </c>
      <c r="B192" s="11" t="n">
        <v>46178.4166666667</v>
      </c>
      <c r="C192" s="9" t="s">
        <v>38</v>
      </c>
      <c r="D192" s="9" t="s">
        <v>262</v>
      </c>
      <c r="E192" s="9" t="s">
        <v>270</v>
      </c>
      <c r="F192" s="9" t="s">
        <v>81</v>
      </c>
      <c r="G192" s="9" t="s">
        <v>20</v>
      </c>
      <c r="H192" s="9" t="s">
        <v>261</v>
      </c>
      <c r="I192" s="5" t="n">
        <v>1000</v>
      </c>
      <c r="J192" s="9" t="s">
        <v>173</v>
      </c>
      <c r="K192" s="9"/>
      <c r="L192" s="9" t="s">
        <v>174</v>
      </c>
      <c r="M192" s="9"/>
      <c r="N192" s="9"/>
      <c r="O192" s="9"/>
      <c r="P192" s="9"/>
      <c r="Q192" s="9"/>
      <c r="R192" s="9"/>
      <c r="S192" s="9"/>
      <c r="T192" s="9"/>
      <c r="U192" s="9" t="s">
        <v>365</v>
      </c>
      <c r="V192" s="9" t="s">
        <v>264</v>
      </c>
      <c r="W192" s="9" t="s">
        <v>366</v>
      </c>
    </row>
    <row r="193" customFormat="false" ht="15" hidden="false" customHeight="false" outlineLevel="0" collapsed="false">
      <c r="A193" s="9" t="s">
        <v>555</v>
      </c>
      <c r="B193" s="11" t="n">
        <v>46192.4166666667</v>
      </c>
      <c r="C193" s="9" t="s">
        <v>38</v>
      </c>
      <c r="D193" s="9" t="s">
        <v>262</v>
      </c>
      <c r="E193" s="9" t="s">
        <v>270</v>
      </c>
      <c r="F193" s="9" t="s">
        <v>78</v>
      </c>
      <c r="G193" s="9" t="s">
        <v>20</v>
      </c>
      <c r="H193" s="9" t="s">
        <v>261</v>
      </c>
      <c r="I193" s="5" t="n">
        <v>2000</v>
      </c>
      <c r="J193" s="9" t="s">
        <v>175</v>
      </c>
      <c r="K193" s="9"/>
      <c r="L193" s="9" t="s">
        <v>176</v>
      </c>
      <c r="M193" s="9"/>
      <c r="N193" s="9"/>
      <c r="O193" s="9"/>
      <c r="P193" s="9"/>
      <c r="Q193" s="9"/>
      <c r="R193" s="9"/>
      <c r="S193" s="9"/>
      <c r="T193" s="9"/>
      <c r="U193" s="9" t="s">
        <v>365</v>
      </c>
      <c r="V193" s="9" t="s">
        <v>264</v>
      </c>
      <c r="W193" s="9" t="s">
        <v>366</v>
      </c>
    </row>
    <row r="194" customFormat="false" ht="15" hidden="false" customHeight="false" outlineLevel="0" collapsed="false">
      <c r="A194" s="9" t="s">
        <v>556</v>
      </c>
      <c r="B194" s="11" t="n">
        <v>46192.4166666667</v>
      </c>
      <c r="C194" s="9" t="s">
        <v>38</v>
      </c>
      <c r="D194" s="9" t="s">
        <v>262</v>
      </c>
      <c r="E194" s="9" t="s">
        <v>270</v>
      </c>
      <c r="F194" s="9" t="s">
        <v>78</v>
      </c>
      <c r="G194" s="9" t="s">
        <v>20</v>
      </c>
      <c r="H194" s="9" t="s">
        <v>261</v>
      </c>
      <c r="I194" s="5" t="n">
        <v>2000</v>
      </c>
      <c r="J194" s="9" t="s">
        <v>177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 t="s">
        <v>365</v>
      </c>
      <c r="V194" s="9" t="s">
        <v>264</v>
      </c>
      <c r="W194" s="9" t="s">
        <v>366</v>
      </c>
    </row>
    <row r="195" customFormat="false" ht="15" hidden="false" customHeight="false" outlineLevel="0" collapsed="false">
      <c r="A195" s="9" t="s">
        <v>557</v>
      </c>
      <c r="B195" s="11" t="n">
        <v>46225</v>
      </c>
      <c r="C195" s="9" t="s">
        <v>38</v>
      </c>
      <c r="D195" s="9" t="s">
        <v>269</v>
      </c>
      <c r="E195" s="9"/>
      <c r="F195" s="9" t="s">
        <v>198</v>
      </c>
      <c r="G195" s="9" t="s">
        <v>20</v>
      </c>
      <c r="H195" s="9" t="s">
        <v>261</v>
      </c>
      <c r="I195" s="5" t="n">
        <v>14500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 t="s">
        <v>365</v>
      </c>
      <c r="V195" s="9" t="s">
        <v>264</v>
      </c>
      <c r="W195" s="9" t="s">
        <v>558</v>
      </c>
    </row>
    <row r="196" customFormat="false" ht="15" hidden="false" customHeight="false" outlineLevel="0" collapsed="false">
      <c r="A196" s="9" t="s">
        <v>559</v>
      </c>
      <c r="B196" s="11" t="n">
        <v>46225</v>
      </c>
      <c r="C196" s="9" t="s">
        <v>38</v>
      </c>
      <c r="D196" s="9" t="s">
        <v>269</v>
      </c>
      <c r="E196" s="9"/>
      <c r="F196" s="9" t="s">
        <v>81</v>
      </c>
      <c r="G196" s="9" t="s">
        <v>373</v>
      </c>
      <c r="H196" s="9" t="s">
        <v>261</v>
      </c>
      <c r="I196" s="5" t="n">
        <v>15000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 t="s">
        <v>365</v>
      </c>
      <c r="V196" s="9" t="s">
        <v>264</v>
      </c>
      <c r="W196" s="9" t="s">
        <v>560</v>
      </c>
    </row>
    <row r="197" customFormat="false" ht="15" hidden="false" customHeight="false" outlineLevel="0" collapsed="false">
      <c r="A197" s="9" t="s">
        <v>561</v>
      </c>
      <c r="B197" s="11" t="n">
        <v>46225</v>
      </c>
      <c r="C197" s="9" t="s">
        <v>38</v>
      </c>
      <c r="D197" s="9" t="s">
        <v>269</v>
      </c>
      <c r="E197" s="9"/>
      <c r="F197" s="9" t="s">
        <v>246</v>
      </c>
      <c r="G197" s="9" t="s">
        <v>373</v>
      </c>
      <c r="H197" s="9" t="s">
        <v>261</v>
      </c>
      <c r="I197" s="5" t="n">
        <v>36000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 t="s">
        <v>365</v>
      </c>
      <c r="V197" s="9" t="s">
        <v>264</v>
      </c>
      <c r="W197" s="9" t="s">
        <v>560</v>
      </c>
    </row>
    <row r="198" customFormat="false" ht="15" hidden="false" customHeight="false" outlineLevel="0" collapsed="false">
      <c r="A198" s="9" t="s">
        <v>562</v>
      </c>
      <c r="B198" s="11" t="n">
        <v>46225</v>
      </c>
      <c r="C198" s="9" t="s">
        <v>38</v>
      </c>
      <c r="D198" s="9" t="s">
        <v>269</v>
      </c>
      <c r="E198" s="9"/>
      <c r="F198" s="9" t="s">
        <v>250</v>
      </c>
      <c r="G198" s="9" t="s">
        <v>373</v>
      </c>
      <c r="H198" s="9" t="s">
        <v>261</v>
      </c>
      <c r="I198" s="5" t="n">
        <v>10000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 t="s">
        <v>365</v>
      </c>
      <c r="V198" s="9" t="s">
        <v>264</v>
      </c>
      <c r="W198" s="9" t="s">
        <v>560</v>
      </c>
    </row>
    <row r="199" customFormat="false" ht="15" hidden="false" customHeight="false" outlineLevel="0" collapsed="false">
      <c r="A199" s="9" t="s">
        <v>563</v>
      </c>
      <c r="B199" s="11" t="n">
        <v>46107</v>
      </c>
      <c r="C199" s="9" t="s">
        <v>38</v>
      </c>
      <c r="D199" s="9" t="s">
        <v>276</v>
      </c>
      <c r="E199" s="9"/>
      <c r="F199" s="9" t="s">
        <v>204</v>
      </c>
      <c r="G199" s="9" t="s">
        <v>20</v>
      </c>
      <c r="H199" s="9" t="s">
        <v>261</v>
      </c>
      <c r="I199" s="5" t="n">
        <v>21490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 t="s">
        <v>206</v>
      </c>
      <c r="U199" s="9"/>
      <c r="V199" s="9" t="s">
        <v>283</v>
      </c>
      <c r="W199" s="9" t="s">
        <v>564</v>
      </c>
    </row>
    <row r="200" customFormat="false" ht="15" hidden="false" customHeight="false" outlineLevel="0" collapsed="false">
      <c r="A200" s="9" t="s">
        <v>565</v>
      </c>
      <c r="B200" s="11" t="n">
        <v>46107</v>
      </c>
      <c r="C200" s="9" t="s">
        <v>38</v>
      </c>
      <c r="D200" s="9" t="s">
        <v>276</v>
      </c>
      <c r="E200" s="9"/>
      <c r="F200" s="9" t="s">
        <v>207</v>
      </c>
      <c r="G200" s="9" t="s">
        <v>20</v>
      </c>
      <c r="H200" s="9" t="s">
        <v>261</v>
      </c>
      <c r="I200" s="5" t="n">
        <v>9610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 t="s">
        <v>209</v>
      </c>
      <c r="U200" s="9"/>
      <c r="V200" s="9" t="s">
        <v>283</v>
      </c>
      <c r="W200" s="9" t="s">
        <v>564</v>
      </c>
    </row>
    <row r="201" customFormat="false" ht="15" hidden="false" customHeight="false" outlineLevel="0" collapsed="false">
      <c r="A201" s="9" t="s">
        <v>566</v>
      </c>
      <c r="B201" s="11" t="n">
        <v>46119</v>
      </c>
      <c r="C201" s="9" t="s">
        <v>38</v>
      </c>
      <c r="D201" s="9" t="s">
        <v>276</v>
      </c>
      <c r="E201" s="9"/>
      <c r="F201" s="9" t="s">
        <v>210</v>
      </c>
      <c r="G201" s="9" t="s">
        <v>20</v>
      </c>
      <c r="H201" s="9" t="s">
        <v>261</v>
      </c>
      <c r="I201" s="5" t="n">
        <v>24990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 t="s">
        <v>212</v>
      </c>
      <c r="U201" s="9"/>
      <c r="V201" s="9" t="s">
        <v>283</v>
      </c>
      <c r="W201" s="9" t="s">
        <v>564</v>
      </c>
    </row>
    <row r="202" customFormat="false" ht="15" hidden="false" customHeight="false" outlineLevel="0" collapsed="false">
      <c r="A202" s="9" t="s">
        <v>567</v>
      </c>
      <c r="B202" s="11" t="n">
        <v>46133</v>
      </c>
      <c r="C202" s="9" t="s">
        <v>38</v>
      </c>
      <c r="D202" s="9" t="s">
        <v>276</v>
      </c>
      <c r="E202" s="9"/>
      <c r="F202" s="9" t="s">
        <v>213</v>
      </c>
      <c r="G202" s="9" t="s">
        <v>20</v>
      </c>
      <c r="H202" s="9" t="s">
        <v>261</v>
      </c>
      <c r="I202" s="5" t="n">
        <v>10000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 t="s">
        <v>214</v>
      </c>
      <c r="U202" s="9"/>
      <c r="V202" s="9" t="s">
        <v>283</v>
      </c>
      <c r="W202" s="9" t="s">
        <v>564</v>
      </c>
    </row>
    <row r="203" customFormat="false" ht="15" hidden="false" customHeight="false" outlineLevel="0" collapsed="false">
      <c r="A203" s="9" t="s">
        <v>568</v>
      </c>
      <c r="B203" s="11" t="n">
        <v>46170</v>
      </c>
      <c r="C203" s="9" t="s">
        <v>38</v>
      </c>
      <c r="D203" s="9" t="s">
        <v>276</v>
      </c>
      <c r="E203" s="9"/>
      <c r="F203" s="9" t="s">
        <v>215</v>
      </c>
      <c r="G203" s="9" t="s">
        <v>20</v>
      </c>
      <c r="H203" s="9" t="s">
        <v>261</v>
      </c>
      <c r="I203" s="5" t="n">
        <v>7670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 t="s">
        <v>216</v>
      </c>
      <c r="U203" s="9"/>
      <c r="V203" s="9" t="s">
        <v>283</v>
      </c>
      <c r="W203" s="9" t="s">
        <v>564</v>
      </c>
    </row>
    <row r="204" customFormat="false" ht="15" hidden="false" customHeight="false" outlineLevel="0" collapsed="false">
      <c r="A204" s="9" t="s">
        <v>569</v>
      </c>
      <c r="B204" s="11" t="n">
        <v>46170</v>
      </c>
      <c r="C204" s="9" t="s">
        <v>38</v>
      </c>
      <c r="D204" s="9" t="s">
        <v>276</v>
      </c>
      <c r="E204" s="9"/>
      <c r="F204" s="9" t="s">
        <v>217</v>
      </c>
      <c r="G204" s="9" t="s">
        <v>20</v>
      </c>
      <c r="H204" s="9" t="s">
        <v>261</v>
      </c>
      <c r="I204" s="5" t="n">
        <v>5540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 t="s">
        <v>219</v>
      </c>
      <c r="U204" s="9"/>
      <c r="V204" s="9" t="s">
        <v>283</v>
      </c>
      <c r="W204" s="9" t="s">
        <v>564</v>
      </c>
    </row>
    <row r="205" customFormat="false" ht="15" hidden="false" customHeight="false" outlineLevel="0" collapsed="false">
      <c r="A205" s="9" t="s">
        <v>570</v>
      </c>
      <c r="B205" s="11" t="n">
        <v>46170</v>
      </c>
      <c r="C205" s="9" t="s">
        <v>38</v>
      </c>
      <c r="D205" s="9" t="s">
        <v>276</v>
      </c>
      <c r="E205" s="9"/>
      <c r="F205" s="9" t="s">
        <v>220</v>
      </c>
      <c r="G205" s="9" t="s">
        <v>20</v>
      </c>
      <c r="H205" s="9" t="s">
        <v>261</v>
      </c>
      <c r="I205" s="5" t="n">
        <v>9990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 t="s">
        <v>221</v>
      </c>
      <c r="U205" s="9"/>
      <c r="V205" s="9" t="s">
        <v>283</v>
      </c>
      <c r="W205" s="9" t="s">
        <v>564</v>
      </c>
    </row>
    <row r="206" customFormat="false" ht="15" hidden="false" customHeight="false" outlineLevel="0" collapsed="false">
      <c r="A206" s="9" t="s">
        <v>571</v>
      </c>
      <c r="B206" s="11" t="n">
        <v>46170</v>
      </c>
      <c r="C206" s="9" t="s">
        <v>38</v>
      </c>
      <c r="D206" s="9" t="s">
        <v>276</v>
      </c>
      <c r="E206" s="9"/>
      <c r="F206" s="9" t="s">
        <v>222</v>
      </c>
      <c r="G206" s="9" t="s">
        <v>20</v>
      </c>
      <c r="H206" s="9" t="s">
        <v>261</v>
      </c>
      <c r="I206" s="5" t="n">
        <v>13990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 t="s">
        <v>223</v>
      </c>
      <c r="U206" s="9"/>
      <c r="V206" s="9" t="s">
        <v>283</v>
      </c>
      <c r="W206" s="9" t="s">
        <v>564</v>
      </c>
    </row>
    <row r="207" customFormat="false" ht="15" hidden="false" customHeight="false" outlineLevel="0" collapsed="false">
      <c r="A207" s="9" t="s">
        <v>572</v>
      </c>
      <c r="B207" s="11" t="n">
        <v>46191</v>
      </c>
      <c r="C207" s="9" t="s">
        <v>38</v>
      </c>
      <c r="D207" s="9" t="s">
        <v>276</v>
      </c>
      <c r="E207" s="9"/>
      <c r="F207" s="9" t="s">
        <v>27</v>
      </c>
      <c r="G207" s="9" t="s">
        <v>20</v>
      </c>
      <c r="H207" s="9" t="s">
        <v>261</v>
      </c>
      <c r="I207" s="5" t="n">
        <v>18550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 t="n">
        <v>3403993582</v>
      </c>
      <c r="U207" s="9"/>
      <c r="V207" s="9" t="s">
        <v>283</v>
      </c>
      <c r="W207" s="9" t="s">
        <v>564</v>
      </c>
    </row>
    <row r="208" customFormat="false" ht="15" hidden="false" customHeight="false" outlineLevel="0" collapsed="false">
      <c r="A208" s="9" t="s">
        <v>573</v>
      </c>
      <c r="B208" s="11" t="n">
        <v>46192</v>
      </c>
      <c r="C208" s="9" t="s">
        <v>38</v>
      </c>
      <c r="D208" s="9" t="s">
        <v>276</v>
      </c>
      <c r="E208" s="9"/>
      <c r="F208" s="9" t="s">
        <v>24</v>
      </c>
      <c r="G208" s="9" t="s">
        <v>20</v>
      </c>
      <c r="H208" s="9" t="s">
        <v>268</v>
      </c>
      <c r="I208" s="5" t="n">
        <v>5000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 t="n">
        <v>8000745</v>
      </c>
      <c r="U208" s="9"/>
      <c r="V208" s="9" t="s">
        <v>283</v>
      </c>
      <c r="W208" s="9" t="s">
        <v>564</v>
      </c>
    </row>
    <row r="209" customFormat="false" ht="15" hidden="false" customHeight="false" outlineLevel="0" collapsed="false">
      <c r="A209" s="9" t="s">
        <v>574</v>
      </c>
      <c r="B209" s="11" t="n">
        <v>46191</v>
      </c>
      <c r="C209" s="9" t="s">
        <v>38</v>
      </c>
      <c r="D209" s="9" t="s">
        <v>276</v>
      </c>
      <c r="E209" s="9"/>
      <c r="F209" s="9" t="s">
        <v>225</v>
      </c>
      <c r="G209" s="9" t="s">
        <v>20</v>
      </c>
      <c r="H209" s="9" t="s">
        <v>261</v>
      </c>
      <c r="I209" s="5" t="n">
        <v>2000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 t="n">
        <v>3196</v>
      </c>
      <c r="U209" s="9"/>
      <c r="V209" s="9" t="s">
        <v>283</v>
      </c>
      <c r="W209" s="9" t="s">
        <v>564</v>
      </c>
    </row>
    <row r="210" customFormat="false" ht="15" hidden="false" customHeight="false" outlineLevel="0" collapsed="false">
      <c r="A210" s="9" t="s">
        <v>575</v>
      </c>
      <c r="B210" s="11" t="n">
        <v>46192</v>
      </c>
      <c r="C210" s="9" t="s">
        <v>38</v>
      </c>
      <c r="D210" s="9" t="s">
        <v>276</v>
      </c>
      <c r="E210" s="9"/>
      <c r="F210" s="9" t="s">
        <v>25</v>
      </c>
      <c r="G210" s="9" t="s">
        <v>20</v>
      </c>
      <c r="H210" s="9" t="s">
        <v>261</v>
      </c>
      <c r="I210" s="5" t="n">
        <v>10930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 t="n">
        <v>3231</v>
      </c>
      <c r="U210" s="9"/>
      <c r="V210" s="9" t="s">
        <v>283</v>
      </c>
      <c r="W210" s="9" t="s">
        <v>564</v>
      </c>
    </row>
    <row r="211" customFormat="false" ht="15" hidden="false" customHeight="false" outlineLevel="0" collapsed="false">
      <c r="A211" s="9" t="s">
        <v>576</v>
      </c>
      <c r="B211" s="11" t="n">
        <v>46192</v>
      </c>
      <c r="C211" s="9" t="s">
        <v>38</v>
      </c>
      <c r="D211" s="9" t="s">
        <v>276</v>
      </c>
      <c r="E211" s="9"/>
      <c r="F211" s="9" t="s">
        <v>26</v>
      </c>
      <c r="G211" s="9" t="s">
        <v>20</v>
      </c>
      <c r="H211" s="9" t="s">
        <v>261</v>
      </c>
      <c r="I211" s="5" t="n">
        <v>13040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 t="n">
        <v>53017</v>
      </c>
      <c r="U211" s="9"/>
      <c r="V211" s="9" t="s">
        <v>283</v>
      </c>
      <c r="W211" s="9" t="s">
        <v>564</v>
      </c>
    </row>
    <row r="212" customFormat="false" ht="15" hidden="false" customHeight="false" outlineLevel="0" collapsed="false">
      <c r="A212" s="9" t="s">
        <v>577</v>
      </c>
      <c r="B212" s="11" t="n">
        <v>46225</v>
      </c>
      <c r="C212" s="9" t="s">
        <v>38</v>
      </c>
      <c r="D212" s="9" t="s">
        <v>276</v>
      </c>
      <c r="E212" s="9"/>
      <c r="F212" s="9" t="s">
        <v>228</v>
      </c>
      <c r="G212" s="9" t="s">
        <v>20</v>
      </c>
      <c r="H212" s="9" t="s">
        <v>261</v>
      </c>
      <c r="I212" s="5" t="n">
        <v>1100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 t="s">
        <v>229</v>
      </c>
      <c r="U212" s="9"/>
      <c r="V212" s="9" t="s">
        <v>283</v>
      </c>
      <c r="W212" s="9" t="s">
        <v>564</v>
      </c>
    </row>
    <row r="213" customFormat="false" ht="15" hidden="false" customHeight="false" outlineLevel="0" collapsed="false">
      <c r="A213" s="9" t="s">
        <v>578</v>
      </c>
      <c r="B213" s="11" t="n">
        <v>46233</v>
      </c>
      <c r="C213" s="9" t="s">
        <v>38</v>
      </c>
      <c r="D213" s="9" t="s">
        <v>276</v>
      </c>
      <c r="E213" s="9"/>
      <c r="F213" s="9" t="s">
        <v>80</v>
      </c>
      <c r="G213" s="9" t="s">
        <v>20</v>
      </c>
      <c r="H213" s="9" t="s">
        <v>261</v>
      </c>
      <c r="I213" s="5" t="n">
        <v>25490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 t="s">
        <v>231</v>
      </c>
      <c r="U213" s="9"/>
      <c r="V213" s="9" t="s">
        <v>283</v>
      </c>
      <c r="W213" s="9" t="s">
        <v>564</v>
      </c>
    </row>
    <row r="214" customFormat="false" ht="15" hidden="false" customHeight="false" outlineLevel="0" collapsed="false">
      <c r="A214" s="9" t="s">
        <v>579</v>
      </c>
      <c r="B214" s="11" t="n">
        <v>46240</v>
      </c>
      <c r="C214" s="9" t="s">
        <v>38</v>
      </c>
      <c r="D214" s="9" t="s">
        <v>276</v>
      </c>
      <c r="E214" s="9"/>
      <c r="F214" s="9" t="s">
        <v>232</v>
      </c>
      <c r="G214" s="9" t="s">
        <v>20</v>
      </c>
      <c r="H214" s="9" t="s">
        <v>261</v>
      </c>
      <c r="I214" s="5" t="n">
        <v>17330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 t="s">
        <v>233</v>
      </c>
      <c r="U214" s="9"/>
      <c r="V214" s="9" t="s">
        <v>283</v>
      </c>
      <c r="W214" s="9" t="s">
        <v>564</v>
      </c>
    </row>
    <row r="215" customFormat="false" ht="15" hidden="false" customHeight="false" outlineLevel="0" collapsed="false">
      <c r="A215" s="9" t="s">
        <v>580</v>
      </c>
      <c r="B215" s="11" t="n">
        <v>46209</v>
      </c>
      <c r="C215" s="9" t="s">
        <v>38</v>
      </c>
      <c r="D215" s="9" t="s">
        <v>276</v>
      </c>
      <c r="E215" s="9"/>
      <c r="F215" s="9" t="s">
        <v>232</v>
      </c>
      <c r="G215" s="9" t="s">
        <v>20</v>
      </c>
      <c r="H215" s="9" t="s">
        <v>261</v>
      </c>
      <c r="I215" s="5" t="n">
        <v>4250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 t="s">
        <v>234</v>
      </c>
      <c r="U215" s="9"/>
      <c r="V215" s="9" t="s">
        <v>283</v>
      </c>
      <c r="W215" s="9" t="s">
        <v>564</v>
      </c>
    </row>
    <row r="216" customFormat="false" ht="15" hidden="false" customHeight="false" outlineLevel="0" collapsed="false">
      <c r="A216" s="9" t="s">
        <v>581</v>
      </c>
      <c r="B216" s="11" t="n">
        <v>46107</v>
      </c>
      <c r="C216" s="9" t="s">
        <v>38</v>
      </c>
      <c r="D216" s="9" t="s">
        <v>276</v>
      </c>
      <c r="E216" s="9"/>
      <c r="F216" s="9" t="s">
        <v>244</v>
      </c>
      <c r="G216" s="9" t="s">
        <v>373</v>
      </c>
      <c r="H216" s="9" t="s">
        <v>261</v>
      </c>
      <c r="I216" s="5" t="n">
        <v>6920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 t="s">
        <v>245</v>
      </c>
      <c r="U216" s="9"/>
      <c r="V216" s="9" t="s">
        <v>283</v>
      </c>
      <c r="W216" s="9" t="s">
        <v>564</v>
      </c>
    </row>
    <row r="217" customFormat="false" ht="15" hidden="false" customHeight="false" outlineLevel="0" collapsed="false">
      <c r="A217" s="9" t="s">
        <v>582</v>
      </c>
      <c r="B217" s="11" t="n">
        <v>46147</v>
      </c>
      <c r="C217" s="9" t="s">
        <v>38</v>
      </c>
      <c r="D217" s="9" t="s">
        <v>276</v>
      </c>
      <c r="E217" s="9"/>
      <c r="F217" s="9" t="s">
        <v>247</v>
      </c>
      <c r="G217" s="9" t="s">
        <v>373</v>
      </c>
      <c r="H217" s="9" t="s">
        <v>261</v>
      </c>
      <c r="I217" s="5" t="n">
        <v>36810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 t="s">
        <v>249</v>
      </c>
      <c r="U217" s="9"/>
      <c r="V217" s="9" t="s">
        <v>283</v>
      </c>
      <c r="W217" s="9" t="s">
        <v>564</v>
      </c>
    </row>
    <row r="218" customFormat="false" ht="15" hidden="false" customHeight="false" outlineLevel="0" collapsed="false">
      <c r="A218" s="9" t="s">
        <v>583</v>
      </c>
      <c r="B218" s="11" t="n">
        <v>46147</v>
      </c>
      <c r="C218" s="9" t="s">
        <v>38</v>
      </c>
      <c r="D218" s="9" t="s">
        <v>276</v>
      </c>
      <c r="E218" s="9"/>
      <c r="F218" s="9" t="s">
        <v>251</v>
      </c>
      <c r="G218" s="9" t="s">
        <v>373</v>
      </c>
      <c r="H218" s="9" t="s">
        <v>261</v>
      </c>
      <c r="I218" s="5" t="n">
        <v>30962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 t="s">
        <v>252</v>
      </c>
      <c r="U218" s="9"/>
      <c r="V218" s="9" t="s">
        <v>283</v>
      </c>
      <c r="W218" s="9" t="s">
        <v>564</v>
      </c>
    </row>
  </sheetData>
  <autoFilter ref="A4:W204"/>
  <mergeCells count="2">
    <mergeCell ref="A1:W1"/>
    <mergeCell ref="A2:W2"/>
  </mergeCells>
  <dataValidations count="7">
    <dataValidation allowBlank="true" errorStyle="stop" operator="between" showDropDown="false" showErrorMessage="false" showInputMessage="false" sqref="D5:D204" type="list">
      <formula1>TiposMovimiento</formula1>
      <formula2>0</formula2>
    </dataValidation>
    <dataValidation allowBlank="true" errorStyle="stop" operator="between" showDropDown="false" showErrorMessage="false" showInputMessage="false" sqref="E5:E204" type="list">
      <formula1>TiposAporte</formula1>
      <formula2>0</formula2>
    </dataValidation>
    <dataValidation allowBlank="true" errorStyle="stop" operator="between" showDropDown="false" showErrorMessage="false" showInputMessage="false" sqref="F5:F204" type="list">
      <formula1>CategoriasGasto</formula1>
      <formula2>0</formula2>
    </dataValidation>
    <dataValidation allowBlank="true" errorStyle="stop" operator="between" showDropDown="false" showErrorMessage="false" showInputMessage="false" sqref="G5:G204" type="list">
      <formula1>"Tesorería,Presidenta"</formula1>
      <formula2>0</formula2>
    </dataValidation>
    <dataValidation allowBlank="true" errorStyle="stop" operator="between" showDropDown="false" showErrorMessage="false" showInputMessage="false" sqref="H5:H204" type="list">
      <formula1>MediosPago</formula1>
      <formula2>0</formula2>
    </dataValidation>
    <dataValidation allowBlank="true" errorStyle="stop" operator="between" showDropDown="false" showErrorMessage="false" showInputMessage="false" sqref="J5:J204" type="list">
      <formula1>PersonasNombres</formula1>
      <formula2>0</formula2>
    </dataValidation>
    <dataValidation allowBlank="true" errorStyle="stop" operator="between" showDropDown="false" showErrorMessage="false" showInputMessage="false" sqref="V5:V204" type="list">
      <formula1>EstadosMovimiento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&amp;LTesorería Multiorganizacional&amp;RPágina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Tesorería Multiorganizacional</dc:creator>
  <dc:description/>
  <dc:language>en-US</dc:language>
  <cp:lastModifiedBy>Mario Valdés González</cp:lastModifiedBy>
  <cp:lastPrinted>2026-08-07T23:27:00Z</cp:lastPrinted>
  <dcterms:modified xsi:type="dcterms:W3CDTF">2026-08-15T19:42:28Z</dcterms:modified>
  <cp:revision>0</cp:revision>
  <dc:subject>Planilla General horizontal, movimientos, personas, organización y respaldo</dc:subject>
  <dc:title>Tesorería Multiorganizacional — CPA 5°B 2026 — Base Maestra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